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39ddfae1d74a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99e05297ccc4f9a"/>
    <x:sheet xmlns:r="http://schemas.openxmlformats.org/officeDocument/2006/relationships" name="WH1 BOM" sheetId="2" r:id="R7d0e1d4a93084d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$#,##0.00"/>
    <x:numFmt numFmtId="202" formatCode="yyyy-mm-dd"/>
    <x:numFmt numFmtId="203" formatCode="0.##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6"/>
      <x:color rgb="FFFFFFFF"/>
      <x:name val="Aptos"/>
    </x:font>
    <x:font>
      <x:i/>
      <x:sz val="11"/>
      <x:color rgb="FF334155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color rgb="FF17365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200" fontId="7" fillId="0" borderId="0" xfId="0" applyNumberFormat="1" applyFont="1" applyFill="1" applyBorder="1"/>
    <x:xf numFmtId="201" fontId="7" fillId="0" borderId="0" xfId="0" applyNumberFormat="1" applyFont="1" applyFill="1" applyBorder="1"/>
    <x:xf numFmtId="0" fontId="9" fillId="4" borderId="0" xfId="0" applyNumberFormat="1" applyFont="1" applyFill="1" applyBorder="1" applyAlignment="1">
      <x:alignment horizontal="center"/>
    </x:xf>
    <x:xf numFmtId="202" fontId="7" fillId="0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203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54f21730694c07" /><Relationship Type="http://schemas.openxmlformats.org/officeDocument/2006/relationships/theme" Target="/xl/theme/theme1.xml" Id="Rd91b730370e34471" /><Relationship Type="http://schemas.openxmlformats.org/officeDocument/2006/relationships/sharedStrings" Target="/xl/sharedStrings.xml" Id="R44bd0287d0564a7a" /><Relationship Type="http://schemas.openxmlformats.org/officeDocument/2006/relationships/worksheet" Target="/xl/worksheets/sheet1.xml" Id="R799e05297ccc4f9a" /><Relationship Type="http://schemas.openxmlformats.org/officeDocument/2006/relationships/worksheet" Target="/xl/worksheets/sheet2.xml" Id="R7d0e1d4a93084dd6" /></Relationships>
</file>

<file path=xl/tables/table1.xml><?xml version="1.0" encoding="utf-8"?>
<x:table xmlns:x="http://schemas.openxmlformats.org/spreadsheetml/2006/main" id="1" name="WH1BOMTable" displayName="WH1BOMTable" ref="A1:O64" headerRowCount="1" totalsRowCount="0" totalsRowShown="0">
  <x:tableColumns count="15">
    <x:tableColumn id="1" name="Source Term"/>
    <x:tableColumn id="2" name="Source Row"/>
    <x:tableColumn id="3" name="Requester"/>
    <x:tableColumn id="4" name="Project"/>
    <x:tableColumn id="5" name="Account"/>
    <x:tableColumn id="6" name="Description"/>
    <x:tableColumn id="7" name="Vendor"/>
    <x:tableColumn id="8" name="Part Number / ASIN"/>
    <x:tableColumn id="9" name="Quantity"/>
    <x:tableColumn id="10" name="Unit Price"/>
    <x:tableColumn id="11" name="Extended Price"/>
    <x:tableColumn id="12" name="Approved"/>
    <x:tableColumn id="13" name="Ordered Date"/>
    <x:tableColumn id="14" name="Arrived Date"/>
    <x:tableColumn id="15" name="Comme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30d544ab7bc48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18" hidden="0" customWidth="1"/>
    <x:col min="5" max="5" width="28" hidden="0" customWidth="1"/>
  </x:cols>
  <x:sheetData>
    <x:row r="1" ht="28" customHeight="1">
      <x:c r="A1" s="16" t="str">
        <x:v>WH1 Cleaned Bill of Materials</x:v>
      </x:c>
      <x:c r="B1" s="16"/>
      <x:c r="C1" s="16"/>
      <x:c r="D1" s="16"/>
      <x:c r="E1" s="16"/>
    </x:row>
    <x:row r="2" ht="34" customHeight="1">
      <x:c r="A2" s="17" t="str">
        <x:v>Purchasing lines where Project equals WH Test Station; original semester CSV files remain outside the repository.</x:v>
      </x:c>
      <x:c r="B2" s="17"/>
      <x:c r="C2" s="17"/>
      <x:c r="D2" s="17"/>
      <x:c r="E2" s="17"/>
    </x:row>
    <x:row r="3">
      <x:c r="A3" s="18"/>
      <x:c r="B3" s="18"/>
      <x:c r="C3" s="18"/>
      <x:c r="D3" s="18"/>
      <x:c r="E3" s="18"/>
    </x:row>
    <x:row r="4">
      <x:c r="A4" s="19" t="str">
        <x:v>Source Term</x:v>
      </x:c>
      <x:c r="B4" s="19" t="str">
        <x:v>Source File</x:v>
      </x:c>
      <x:c r="C4" s="19" t="str">
        <x:v>WH1 Rows</x:v>
      </x:c>
      <x:c r="D4" s="19" t="str">
        <x:v>Extended Total</x:v>
      </x:c>
      <x:c r="E4" s="19" t="str">
        <x:v>Scope Rule</x:v>
      </x:c>
    </x:row>
    <x:row r="5">
      <x:c r="A5" s="18" t="str">
        <x:v>2025 Spring</x:v>
      </x:c>
      <x:c r="B5" s="18" t="str">
        <x:v>Power Lab BoM - 2025Spring.csv</x:v>
      </x:c>
      <x:c r="C5" s="20" t="n">
        <x:f>COUNTIF('WH1 BOM'!$A$2:$A$64,A5)</x:f>
        <x:v>11</x:v>
      </x:c>
      <x:c r="D5" s="21" t="n">
        <x:f>SUMIF('WH1 BOM'!$A$2:$A$64,A5,'WH1 BOM'!$K$2:$K$64)</x:f>
        <x:v>794.6500000000001</x:v>
      </x:c>
      <x:c r="E5" s="18" t="str">
        <x:v>Project = WH Test Station</x:v>
      </x:c>
    </x:row>
    <x:row r="6">
      <x:c r="A6" s="18" t="str">
        <x:v>2025 Summer</x:v>
      </x:c>
      <x:c r="B6" s="18" t="str">
        <x:v>Power Lab BoM - 2025Summer.csv</x:v>
      </x:c>
      <x:c r="C6" s="20" t="n">
        <x:f>COUNTIF('WH1 BOM'!$A$2:$A$64,A6)</x:f>
        <x:v>26</x:v>
      </x:c>
      <x:c r="D6" s="21" t="n">
        <x:f>SUMIF('WH1 BOM'!$A$2:$A$64,A6,'WH1 BOM'!$K$2:$K$64)</x:f>
        <x:v>572.8199999999999</x:v>
      </x:c>
      <x:c r="E6" s="18" t="str">
        <x:v>Project = WH Test Station</x:v>
      </x:c>
    </x:row>
    <x:row r="7">
      <x:c r="A7" s="18" t="str">
        <x:v>2025 Fall</x:v>
      </x:c>
      <x:c r="B7" s="18" t="str">
        <x:v>Power Lab BoM - 2025Fall.csv</x:v>
      </x:c>
      <x:c r="C7" s="20" t="n">
        <x:f>COUNTIF('WH1 BOM'!$A$2:$A$64,A7)</x:f>
        <x:v>8</x:v>
      </x:c>
      <x:c r="D7" s="21" t="n">
        <x:f>SUMIF('WH1 BOM'!$A$2:$A$64,A7,'WH1 BOM'!$K$2:$K$64)</x:f>
        <x:v>1596.39</x:v>
      </x:c>
      <x:c r="E7" s="18" t="str">
        <x:v>Project = WH Test Station</x:v>
      </x:c>
    </x:row>
    <x:row r="8">
      <x:c r="A8" s="18" t="str">
        <x:v>2026 Spring</x:v>
      </x:c>
      <x:c r="B8" s="18" t="str">
        <x:v>Power Lab BoM - 2026Spring.csv</x:v>
      </x:c>
      <x:c r="C8" s="20" t="n">
        <x:f>COUNTIF('WH1 BOM'!$A$2:$A$64,A8)</x:f>
        <x:v>18</x:v>
      </x:c>
      <x:c r="D8" s="21" t="n">
        <x:f>SUMIF('WH1 BOM'!$A$2:$A$64,A8,'WH1 BOM'!$K$2:$K$64)</x:f>
        <x:v>1567.48</x:v>
      </x:c>
      <x:c r="E8" s="18" t="str">
        <x:v>Project = WH Test Station</x:v>
      </x:c>
    </x:row>
    <x:row r="9">
      <x:c r="A9" s="18"/>
      <x:c r="B9" s="18"/>
      <x:c r="C9" s="18"/>
      <x:c r="D9" s="18"/>
      <x:c r="E9" s="18"/>
    </x:row>
    <x:row r="10">
      <x:c r="A10" s="22" t="str">
        <x:v>All WH1 rows</x:v>
      </x:c>
      <x:c r="B10" s="22" t="str">
        <x:v>All-term extended total</x:v>
      </x:c>
      <x:c r="C10" s="22" t="str">
        <x:v>Generated</x:v>
      </x:c>
      <x:c r="D10" s="18"/>
      <x:c r="E10" s="18"/>
    </x:row>
    <x:row r="11">
      <x:c r="A11" s="20" t="n">
        <x:f>COUNTA('WH1 BOM'!$A$2:$A$64)</x:f>
        <x:v>63</x:v>
      </x:c>
      <x:c r="B11" s="21" t="n">
        <x:f>SUM('WH1 BOM'!$K$2:$K$64)</x:f>
        <x:v>4531.339999999999</x:v>
      </x:c>
      <x:c r="C11" s="23" t="n">
        <x:v>46223.985342708336</x:v>
      </x:c>
      <x:c r="D11" s="18"/>
      <x:c r="E11" s="18"/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1" hidden="0" customWidth="1"/>
    <x:col min="3" max="3" width="15" hidden="0" customWidth="1"/>
    <x:col min="4" max="4" width="18" hidden="0" customWidth="1"/>
    <x:col min="5" max="5" width="15" hidden="0" customWidth="1"/>
    <x:col min="6" max="6" width="54" hidden="0" customWidth="1"/>
    <x:col min="7" max="7" width="18" hidden="0" customWidth="1"/>
    <x:col min="8" max="8" width="24" hidden="0" customWidth="1"/>
    <x:col min="9" max="9" width="10" hidden="0" customWidth="1"/>
    <x:col min="10" max="10" width="13" hidden="0" customWidth="1"/>
    <x:col min="11" max="11" width="15" hidden="0" customWidth="1"/>
    <x:col min="12" max="12" width="11" hidden="0" customWidth="1"/>
    <x:col min="13" max="13" width="14" hidden="0" customWidth="1"/>
    <x:col min="14" max="14" width="14" hidden="0" customWidth="1"/>
    <x:col min="15" max="15" width="44" hidden="0" customWidth="1"/>
  </x:cols>
  <x:sheetData>
    <x:row r="1" ht="30" customHeight="1">
      <x:c r="A1" s="25" t="str">
        <x:v>Source Term</x:v>
      </x:c>
      <x:c r="B1" s="25" t="str">
        <x:v>Source Row</x:v>
      </x:c>
      <x:c r="C1" s="25" t="str">
        <x:v>Requester</x:v>
      </x:c>
      <x:c r="D1" s="25" t="str">
        <x:v>Project</x:v>
      </x:c>
      <x:c r="E1" s="25" t="str">
        <x:v>Account</x:v>
      </x:c>
      <x:c r="F1" s="25" t="str">
        <x:v>Description</x:v>
      </x:c>
      <x:c r="G1" s="25" t="str">
        <x:v>Vendor</x:v>
      </x:c>
      <x:c r="H1" s="25" t="str">
        <x:v>Part Number / ASIN</x:v>
      </x:c>
      <x:c r="I1" s="25" t="str">
        <x:v>Quantity</x:v>
      </x:c>
      <x:c r="J1" s="25" t="str">
        <x:v>Unit Price</x:v>
      </x:c>
      <x:c r="K1" s="25" t="str">
        <x:v>Extended Price</x:v>
      </x:c>
      <x:c r="L1" s="25" t="str">
        <x:v>Approved</x:v>
      </x:c>
      <x:c r="M1" s="25" t="str">
        <x:v>Ordered Date</x:v>
      </x:c>
      <x:c r="N1" s="25" t="str">
        <x:v>Arrived Date</x:v>
      </x:c>
      <x:c r="O1" s="25" t="str">
        <x:v>Comments</x:v>
      </x:c>
    </x:row>
    <x:row r="2">
      <x:c r="A2" s="18" t="str">
        <x:v>2025 Spring</x:v>
      </x:c>
      <x:c r="B2" s="20" t="n">
        <x:v>11</x:v>
      </x:c>
      <x:c r="C2" s="18" t="str">
        <x:v>N.Altalhi</x:v>
      </x:c>
      <x:c r="D2" s="18" t="str">
        <x:v>WH Test Station</x:v>
      </x:c>
      <x:c r="E2" s="18" t="str">
        <x:v>8612023 PF</x:v>
      </x:c>
      <x:c r="F2" s="27" t="str">
        <x:v>TWTADE Industrial Temperature Sensor, 20mA Signal Output 1/2" NPT, Male Thread, Probe Rod Length: 30MM</x:v>
      </x:c>
      <x:c r="G2" s="18" t="str">
        <x:v>Amazon</x:v>
      </x:c>
      <x:c r="H2" s="18" t="str">
        <x:v>B07RFG17VW</x:v>
      </x:c>
      <x:c r="I2" s="26" t="n">
        <x:v>2</x:v>
      </x:c>
      <x:c r="J2" s="21" t="n">
        <x:v>49.99</x:v>
      </x:c>
      <x:c r="K2" s="21" t="n">
        <x:v>99.98</x:v>
      </x:c>
      <x:c r="L2" s="18" t="str">
        <x:v>yes</x:v>
      </x:c>
      <x:c r="M2" s="23" t="n">
        <x:v>45797</x:v>
      </x:c>
      <x:c r="N2" s="23" t="n">
        <x:v>45804</x:v>
      </x:c>
      <x:c r="O2" s="27" t="str"/>
    </x:row>
    <x:row r="3">
      <x:c r="A3" s="18" t="str">
        <x:v>2025 Spring</x:v>
      </x:c>
      <x:c r="B3" s="20" t="n">
        <x:v>12</x:v>
      </x:c>
      <x:c r="C3" s="18" t="str">
        <x:v>N.Altalhi</x:v>
      </x:c>
      <x:c r="D3" s="18" t="str">
        <x:v>WH Test Station</x:v>
      </x:c>
      <x:c r="E3" s="18" t="str">
        <x:v>8612023 PF</x:v>
      </x:c>
      <x:c r="F3" s="27" t="str">
        <x:v>1270Pcs 127Values 1/2w 1R-1M Ohm 1% Metal Film Fixed Resistor Kit Tolerance Resistor Assortment Kit with Storage Box</x:v>
      </x:c>
      <x:c r="G3" s="18" t="str">
        <x:v>Amazon</x:v>
      </x:c>
      <x:c r="H3" s="18" t="str">
        <x:v>B0D41FJBKS</x:v>
      </x:c>
      <x:c r="I3" s="26" t="n">
        <x:v>1</x:v>
      </x:c>
      <x:c r="J3" s="21" t="n">
        <x:v>12.99</x:v>
      </x:c>
      <x:c r="K3" s="21" t="n">
        <x:v>12.99</x:v>
      </x:c>
      <x:c r="L3" s="18" t="str">
        <x:v>yes</x:v>
      </x:c>
      <x:c r="M3" s="23" t="n">
        <x:v>45797</x:v>
      </x:c>
      <x:c r="N3" s="23" t="n">
        <x:v>45804</x:v>
      </x:c>
      <x:c r="O3" s="27" t="str"/>
    </x:row>
    <x:row r="4">
      <x:c r="A4" s="18" t="str">
        <x:v>2025 Spring</x:v>
      </x:c>
      <x:c r="B4" s="20" t="n">
        <x:v>13</x:v>
      </x:c>
      <x:c r="C4" s="18" t="str">
        <x:v>N.Altalhi</x:v>
      </x:c>
      <x:c r="D4" s="18" t="str">
        <x:v>WH Test Station</x:v>
      </x:c>
      <x:c r="E4" s="18" t="str">
        <x:v>8612023 PF</x:v>
      </x:c>
      <x:c r="F4" s="27" t="str">
        <x:v>5pcs LM35DZ LM35 Analogue Precision Centigrade Temperature Sensor IC,To-92</x:v>
      </x:c>
      <x:c r="G4" s="18" t="str">
        <x:v>Amazon</x:v>
      </x:c>
      <x:c r="H4" s="18" t="str">
        <x:v>B07Y7FCZYB</x:v>
      </x:c>
      <x:c r="I4" s="26" t="n">
        <x:v>1</x:v>
      </x:c>
      <x:c r="J4" s="21" t="n">
        <x:v>9.99</x:v>
      </x:c>
      <x:c r="K4" s="21" t="n">
        <x:v>9.99</x:v>
      </x:c>
      <x:c r="L4" s="18" t="str">
        <x:v>yes</x:v>
      </x:c>
      <x:c r="M4" s="23" t="n">
        <x:v>45797</x:v>
      </x:c>
      <x:c r="N4" s="23" t="n">
        <x:v>45800</x:v>
      </x:c>
      <x:c r="O4" s="27" t="str"/>
    </x:row>
    <x:row r="5">
      <x:c r="A5" s="18" t="str">
        <x:v>2025 Spring</x:v>
      </x:c>
      <x:c r="B5" s="20" t="n">
        <x:v>14</x:v>
      </x:c>
      <x:c r="C5" s="18" t="str">
        <x:v>N.Altalhi</x:v>
      </x:c>
      <x:c r="D5" s="18" t="str">
        <x:v>WH Test Station</x:v>
      </x:c>
      <x:c r="E5" s="18" t="str">
        <x:v>8612023 PF</x:v>
      </x:c>
      <x:c r="F5" s="27" t="str">
        <x:v>LM324N LM324 Quad Om-Amp DIP-14 Quadruple Operational Amplifier 14-Pin IC(Pack of 30pcs)</x:v>
      </x:c>
      <x:c r="G5" s="18" t="str">
        <x:v>Amazon</x:v>
      </x:c>
      <x:c r="H5" s="18" t="str">
        <x:v>B0CBKKQV3J</x:v>
      </x:c>
      <x:c r="I5" s="26" t="n">
        <x:v>1</x:v>
      </x:c>
      <x:c r="J5" s="21" t="n">
        <x:v>7.99</x:v>
      </x:c>
      <x:c r="K5" s="21" t="n">
        <x:v>7.99</x:v>
      </x:c>
      <x:c r="L5" s="18" t="str">
        <x:v>yes</x:v>
      </x:c>
      <x:c r="M5" s="23" t="n">
        <x:v>45797</x:v>
      </x:c>
      <x:c r="N5" s="23" t="n">
        <x:v>45800</x:v>
      </x:c>
      <x:c r="O5" s="27" t="str"/>
    </x:row>
    <x:row r="6">
      <x:c r="A6" s="18" t="str">
        <x:v>2025 Spring</x:v>
      </x:c>
      <x:c r="B6" s="20" t="n">
        <x:v>15</x:v>
      </x:c>
      <x:c r="C6" s="18" t="str">
        <x:v>N.Altalhi</x:v>
      </x:c>
      <x:c r="D6" s="18" t="str">
        <x:v>WH Test Station</x:v>
      </x:c>
      <x:c r="E6" s="18" t="str">
        <x:v>8612023 PF</x:v>
      </x:c>
      <x:c r="F6" s="27" t="str">
        <x:v>(Qty 2) Proto-Advantage PA0028C QSOP-16 to DIP-16 SMT Adapter (0.635 mm / 25 mil Pitch) Compact Series</x:v>
      </x:c>
      <x:c r="G6" s="18" t="str">
        <x:v>Amazon</x:v>
      </x:c>
      <x:c r="H6" s="18" t="str">
        <x:v>B097YZ4V7X</x:v>
      </x:c>
      <x:c r="I6" s="26" t="n">
        <x:v>1</x:v>
      </x:c>
      <x:c r="J6" s="21" t="n">
        <x:v>15.58</x:v>
      </x:c>
      <x:c r="K6" s="21" t="n">
        <x:v>15.58</x:v>
      </x:c>
      <x:c r="L6" s="18" t="str">
        <x:v>yes</x:v>
      </x:c>
      <x:c r="M6" s="23" t="n">
        <x:v>45797</x:v>
      </x:c>
      <x:c r="N6" s="23" t="n">
        <x:v>45800</x:v>
      </x:c>
      <x:c r="O6" s="27" t="str">
        <x:v>Is this 700-MAX1238EEE+ or 700-MAX1238EEE+T &gt;&gt; N.Altalhi - 700-MAX1238EEE+ is the right choice for both my breadboard and final PCB.</x:v>
      </x:c>
    </x:row>
    <x:row r="7">
      <x:c r="A7" s="18" t="str">
        <x:v>2025 Spring</x:v>
      </x:c>
      <x:c r="B7" s="20" t="n">
        <x:v>16</x:v>
      </x:c>
      <x:c r="C7" s="18" t="str">
        <x:v>D. Paresa</x:v>
      </x:c>
      <x:c r="D7" s="18" t="str">
        <x:v>WH Test Station</x:v>
      </x:c>
      <x:c r="E7" s="18" t="str">
        <x:v>8612023 PF</x:v>
      </x:c>
      <x:c r="F7" s="27" t="str">
        <x:v>Rheem Hybrid Hot Water Heater Control Board AP22944</x:v>
      </x:c>
      <x:c r="G7" s="18" t="str">
        <x:v>EBay</x:v>
      </x:c>
      <x:c r="H7" s="18" t="str">
        <x:v>AP22944</x:v>
      </x:c>
      <x:c r="I7" s="26" t="n">
        <x:v>1</x:v>
      </x:c>
      <x:c r="J7" s="21" t="n">
        <x:v>40</x:v>
      </x:c>
      <x:c r="K7" s="21" t="n">
        <x:v>40</x:v>
      </x:c>
      <x:c r="L7" s="18" t="str">
        <x:v>yes</x:v>
      </x:c>
      <x:c r="M7" s="23" t="n">
        <x:v>45797</x:v>
      </x:c>
      <x:c r="N7" s="23" t="n">
        <x:v>45817</x:v>
      </x:c>
      <x:c r="O7" s="27" t="str"/>
    </x:row>
    <x:row r="8">
      <x:c r="A8" s="18" t="str">
        <x:v>2025 Spring</x:v>
      </x:c>
      <x:c r="B8" s="20" t="n">
        <x:v>17</x:v>
      </x:c>
      <x:c r="C8" s="18" t="str">
        <x:v>D. Paresa</x:v>
      </x:c>
      <x:c r="D8" s="18" t="str">
        <x:v>WH Test Station</x:v>
      </x:c>
      <x:c r="E8" s="18" t="str">
        <x:v>8612023 PF</x:v>
      </x:c>
      <x:c r="F8" s="27" t="str">
        <x:v>shipping</x:v>
      </x:c>
      <x:c r="G8" s="18" t="str">
        <x:v>EBay</x:v>
      </x:c>
      <x:c r="H8" s="18" t="str">
        <x:v>N/A</x:v>
      </x:c>
      <x:c r="I8" s="26" t="n">
        <x:v>1</x:v>
      </x:c>
      <x:c r="J8" s="21" t="n">
        <x:v>8.71</x:v>
      </x:c>
      <x:c r="K8" s="21" t="n">
        <x:v>8.71</x:v>
      </x:c>
      <x:c r="L8" s="18" t="str">
        <x:v>yes</x:v>
      </x:c>
      <x:c r="M8" s="23" t="n">
        <x:v>45797</x:v>
      </x:c>
      <x:c r="N8" s="23" t="n">
        <x:v>45817</x:v>
      </x:c>
      <x:c r="O8" s="27" t="str"/>
    </x:row>
    <x:row r="9">
      <x:c r="A9" s="18" t="str">
        <x:v>2025 Spring</x:v>
      </x:c>
      <x:c r="B9" s="20" t="n">
        <x:v>18</x:v>
      </x:c>
      <x:c r="C9" s="18" t="str">
        <x:v>D. Paresa</x:v>
      </x:c>
      <x:c r="D9" s="18" t="str">
        <x:v>WH Test Station</x:v>
      </x:c>
      <x:c r="E9" s="18" t="str">
        <x:v>8612023 PF</x:v>
      </x:c>
      <x:c r="F9" s="27" t="str">
        <x:v>Flow-Adjustment Valve with Flow-Indicating Lever Handle, 3/4 NPT Female</x:v>
      </x:c>
      <x:c r="G9" s="18" t="str">
        <x:v>McMASTER-CARR</x:v>
      </x:c>
      <x:c r="H9" s="18" t="str">
        <x:v>4682K55</x:v>
      </x:c>
      <x:c r="I9" s="26" t="n">
        <x:v>1</x:v>
      </x:c>
      <x:c r="J9" s="21" t="n">
        <x:v>57.34</x:v>
      </x:c>
      <x:c r="K9" s="21" t="n">
        <x:v>57.34</x:v>
      </x:c>
      <x:c r="L9" s="18" t="str">
        <x:v>yes</x:v>
      </x:c>
      <x:c r="M9" s="23" t="n">
        <x:v>45797</x:v>
      </x:c>
      <x:c r="N9" s="23" t="n">
        <x:v>45798</x:v>
      </x:c>
      <x:c r="O9" s="27" t="str">
        <x:v>Cv = 25 (approx equiv to GPM max)</x:v>
      </x:c>
    </x:row>
    <x:row r="10">
      <x:c r="A10" s="18" t="str">
        <x:v>2025 Spring</x:v>
      </x:c>
      <x:c r="B10" s="20" t="n">
        <x:v>19</x:v>
      </x:c>
      <x:c r="C10" s="18" t="str">
        <x:v>N.Altalhi</x:v>
      </x:c>
      <x:c r="D10" s="18" t="str">
        <x:v>WH Test Station</x:v>
      </x:c>
      <x:c r="E10" s="18" t="str">
        <x:v>8612023 PF</x:v>
      </x:c>
      <x:c r="F10" s="27" t="str">
        <x:v>Flow Transmitter Variable-Area Flow, 3/4 NPT Female, 0.2 to 10 gpm</x:v>
      </x:c>
      <x:c r="G10" s="18" t="str">
        <x:v>McMASTER-CARR</x:v>
      </x:c>
      <x:c r="H10" s="18" t="str">
        <x:v>4386N107</x:v>
      </x:c>
      <x:c r="I10" s="26" t="n">
        <x:v>1</x:v>
      </x:c>
      <x:c r="J10" s="21" t="n">
        <x:v>381.48</x:v>
      </x:c>
      <x:c r="K10" s="21" t="n">
        <x:v>381.48</x:v>
      </x:c>
      <x:c r="L10" s="18" t="str">
        <x:v>yes</x:v>
      </x:c>
      <x:c r="M10" s="23" t="n">
        <x:v>45797</x:v>
      </x:c>
      <x:c r="N10" s="23" t="n">
        <x:v>45798</x:v>
      </x:c>
      <x:c r="O10" s="27" t="str"/>
    </x:row>
    <x:row r="11">
      <x:c r="A11" s="18" t="str">
        <x:v>2025 Spring</x:v>
      </x:c>
      <x:c r="B11" s="20" t="n">
        <x:v>20</x:v>
      </x:c>
      <x:c r="C11" s="18" t="str">
        <x:v>N.Altalhi</x:v>
      </x:c>
      <x:c r="D11" s="18" t="str">
        <x:v>WH Test Station</x:v>
      </x:c>
      <x:c r="E11" s="18" t="str">
        <x:v>8612023 PF</x:v>
      </x:c>
      <x:c r="F11" s="27" t="str">
        <x:v>Analog to Digital Converters - 4.5V to 5.5V, Low-Power</x:v>
      </x:c>
      <x:c r="G11" s="18" t="str">
        <x:v>Mouser</x:v>
      </x:c>
      <x:c r="H11" s="18" t="str">
        <x:v>700-MAX1238EEE+</x:v>
      </x:c>
      <x:c r="I11" s="26" t="n">
        <x:v>10</x:v>
      </x:c>
      <x:c r="J11" s="21" t="n">
        <x:v>14.36</x:v>
      </x:c>
      <x:c r="K11" s="21" t="n">
        <x:v>143.6</x:v>
      </x:c>
      <x:c r="L11" s="18" t="str">
        <x:v>yes</x:v>
      </x:c>
      <x:c r="M11" s="23" t="n">
        <x:v>45797</x:v>
      </x:c>
      <x:c r="N11" s="23" t="n">
        <x:v>45805</x:v>
      </x:c>
      <x:c r="O11" s="27" t="str"/>
    </x:row>
    <x:row r="12">
      <x:c r="A12" s="18" t="str">
        <x:v>2025 Spring</x:v>
      </x:c>
      <x:c r="B12" s="20" t="n">
        <x:v>22</x:v>
      </x:c>
      <x:c r="C12" s="18" t="str">
        <x:v>N.Altalhi</x:v>
      </x:c>
      <x:c r="D12" s="18" t="str">
        <x:v>WH Test Station</x:v>
      </x:c>
      <x:c r="E12" s="18" t="str">
        <x:v>8612023 PF</x:v>
      </x:c>
      <x:c r="F12" s="27" t="str">
        <x:v>M12 4 Pins Female Connector Cable, Waterproof IP67 Solder Locking System, Brass Gold-Plated Contacts, A Code Straight Aviation Sensor Electrical 250V 4A Industrial Grade Cable (5 Meter)</x:v>
      </x:c>
      <x:c r="G12" s="18" t="str">
        <x:v>Amazon</x:v>
      </x:c>
      <x:c r="H12" s="18" t="str">
        <x:v>B0DNX6ZPZQ</x:v>
      </x:c>
      <x:c r="I12" s="26" t="n">
        <x:v>1</x:v>
      </x:c>
      <x:c r="J12" s="21" t="n">
        <x:v>16.99</x:v>
      </x:c>
      <x:c r="K12" s="21" t="n">
        <x:v>16.99</x:v>
      </x:c>
      <x:c r="L12" s="18" t="str">
        <x:v>yes</x:v>
      </x:c>
      <x:c r="M12" s="23" t="n">
        <x:v>45800</x:v>
      </x:c>
      <x:c r="N12" s="23" t="n">
        <x:v>45814</x:v>
      </x:c>
      <x:c r="O12" s="27" t="str"/>
    </x:row>
    <x:row r="13">
      <x:c r="A13" s="18" t="str">
        <x:v>2025 Summer</x:v>
      </x:c>
      <x:c r="B13" s="20" t="n">
        <x:v>4</x:v>
      </x:c>
      <x:c r="C13" s="18" t="str">
        <x:v>R. Bass</x:v>
      </x:c>
      <x:c r="D13" s="18" t="str">
        <x:v>WH Test Station</x:v>
      </x:c>
      <x:c r="E13" s="18" t="str">
        <x:v>8612023 PF</x:v>
      </x:c>
      <x:c r="F13" s="27" t="str">
        <x:v>10 PIECES 3/4" PEX TUBING BEND SUPPORTS METAL</x:v>
      </x:c>
      <x:c r="G13" s="18" t="str">
        <x:v>Amazon</x:v>
      </x:c>
      <x:c r="H13" s="18" t="str">
        <x:v>B07JYGYG7S</x:v>
      </x:c>
      <x:c r="I13" s="26" t="n">
        <x:v>2</x:v>
      </x:c>
      <x:c r="J13" s="21" t="n">
        <x:v>21.99</x:v>
      </x:c>
      <x:c r="K13" s="21" t="n">
        <x:v>43.98</x:v>
      </x:c>
      <x:c r="L13" s="18" t="str">
        <x:v>yes</x:v>
      </x:c>
      <x:c r="M13" s="23" t="n">
        <x:v>45837</x:v>
      </x:c>
      <x:c r="N13" s="23" t="n">
        <x:v>45839</x:v>
      </x:c>
      <x:c r="O13" s="27" t="str"/>
    </x:row>
    <x:row r="14">
      <x:c r="A14" s="18" t="str">
        <x:v>2025 Summer</x:v>
      </x:c>
      <x:c r="B14" s="20" t="n">
        <x:v>5</x:v>
      </x:c>
      <x:c r="C14" s="18" t="str">
        <x:v>R. Bass</x:v>
      </x:c>
      <x:c r="D14" s="18" t="str">
        <x:v>WH Test Station</x:v>
      </x:c>
      <x:c r="E14" s="18" t="str">
        <x:v>8612023 PF</x:v>
      </x:c>
      <x:c r="F14" s="27" t="str">
        <x:v>100Pcs 3/4Inch PEX Copper Ring,Pro Pex Crimp Copper Rings for Potable Water</x:v>
      </x:c>
      <x:c r="G14" s="18" t="str">
        <x:v>Amazon</x:v>
      </x:c>
      <x:c r="H14" s="18" t="str">
        <x:v>B0F5GYRCXZ</x:v>
      </x:c>
      <x:c r="I14" s="26" t="n">
        <x:v>2</x:v>
      </x:c>
      <x:c r="J14" s="21" t="n">
        <x:v>23.99</x:v>
      </x:c>
      <x:c r="K14" s="21" t="n">
        <x:v>47.98</x:v>
      </x:c>
      <x:c r="L14" s="18" t="str">
        <x:v>yes</x:v>
      </x:c>
      <x:c r="M14" s="23" t="n">
        <x:v>45837</x:v>
      </x:c>
      <x:c r="N14" s="23" t="n">
        <x:v>45839</x:v>
      </x:c>
      <x:c r="O14" s="27" t="str"/>
    </x:row>
    <x:row r="15">
      <x:c r="A15" s="18" t="str">
        <x:v>2025 Summer</x:v>
      </x:c>
      <x:c r="B15" s="20" t="n">
        <x:v>7</x:v>
      </x:c>
      <x:c r="C15" s="18" t="str">
        <x:v>R. Bass</x:v>
      </x:c>
      <x:c r="D15" s="18" t="str">
        <x:v>WH Test Station</x:v>
      </x:c>
      <x:c r="E15" s="18" t="str">
        <x:v>8612023 PF</x:v>
      </x:c>
      <x:c r="F15" s="27" t="str">
        <x:v>3/4-in x 10-ft Red PEX-B Pipe</x:v>
      </x:c>
      <x:c r="G15" s="18" t="str">
        <x:v>Lowes</x:v>
      </x:c>
      <x:c r="H15" s="18" t="str">
        <x:v>972630</x:v>
      </x:c>
      <x:c r="I15" s="26" t="n">
        <x:v>6</x:v>
      </x:c>
      <x:c r="J15" s="21" t="n">
        <x:v>8.28</x:v>
      </x:c>
      <x:c r="K15" s="21" t="n">
        <x:v>49.68</x:v>
      </x:c>
      <x:c r="L15" s="18" t="str">
        <x:v>yes</x:v>
      </x:c>
      <x:c r="M15" s="23" t="n">
        <x:v>45845</x:v>
      </x:c>
      <x:c r="N15" s="23" t="n">
        <x:v>45846</x:v>
      </x:c>
      <x:c r="O15" s="27" t="str">
        <x:v>pickup</x:v>
      </x:c>
    </x:row>
    <x:row r="16">
      <x:c r="A16" s="18" t="str">
        <x:v>2025 Summer</x:v>
      </x:c>
      <x:c r="B16" s="20" t="n">
        <x:v>8</x:v>
      </x:c>
      <x:c r="C16" s="18" t="str">
        <x:v>R. Bass</x:v>
      </x:c>
      <x:c r="D16" s="18" t="str">
        <x:v>WH Test Station</x:v>
      </x:c>
      <x:c r="E16" s="18" t="str">
        <x:v>8612023 PF</x:v>
      </x:c>
      <x:c r="F16" s="27" t="str">
        <x:v>3/4-in x 10-ft Blue PEX-B Pipe</x:v>
      </x:c>
      <x:c r="G16" s="18" t="str">
        <x:v>Lowes</x:v>
      </x:c>
      <x:c r="H16" s="18" t="str">
        <x:v>972629</x:v>
      </x:c>
      <x:c r="I16" s="26" t="n">
        <x:v>3</x:v>
      </x:c>
      <x:c r="J16" s="21" t="n">
        <x:v>8.28</x:v>
      </x:c>
      <x:c r="K16" s="21" t="n">
        <x:v>24.84</x:v>
      </x:c>
      <x:c r="L16" s="18" t="str">
        <x:v>yes</x:v>
      </x:c>
      <x:c r="M16" s="23" t="n">
        <x:v>45845</x:v>
      </x:c>
      <x:c r="N16" s="23" t="n">
        <x:v>45846</x:v>
      </x:c>
      <x:c r="O16" s="27" t="str">
        <x:v>pickup</x:v>
      </x:c>
    </x:row>
    <x:row r="17">
      <x:c r="A17" s="18" t="str">
        <x:v>2025 Summer</x:v>
      </x:c>
      <x:c r="B17" s="20" t="n">
        <x:v>9</x:v>
      </x:c>
      <x:c r="C17" s="18" t="str">
        <x:v>N.Altalhi</x:v>
      </x:c>
      <x:c r="D17" s="18" t="str">
        <x:v>WH Test Station</x:v>
      </x:c>
      <x:c r="E17" s="18" t="str">
        <x:v>8612023 PF</x:v>
      </x:c>
      <x:c r="F17" s="27" t="str">
        <x:v>TOGGLER SNAPTOGGLE Drywall Anchor with Included Bolts for 1/4-20 Fastener Size; Holds up to 265 pounds Each in 1/2-in Drywall by TOGGLER (20 Pack)</x:v>
      </x:c>
      <x:c r="G17" s="18" t="str">
        <x:v>Amazon</x:v>
      </x:c>
      <x:c r="H17" s="18" t="str">
        <x:v>B07FMCHQ8W</x:v>
      </x:c>
      <x:c r="I17" s="26" t="n">
        <x:v>1</x:v>
      </x:c>
      <x:c r="J17" s="21" t="n">
        <x:v>19.99</x:v>
      </x:c>
      <x:c r="K17" s="21" t="n">
        <x:v>19.99</x:v>
      </x:c>
      <x:c r="L17" s="18" t="str">
        <x:v>yes</x:v>
      </x:c>
      <x:c r="M17" s="23" t="n">
        <x:v>45846</x:v>
      </x:c>
      <x:c r="N17" s="23" t="n">
        <x:v>45853</x:v>
      </x:c>
      <x:c r="O17" s="27" t="str"/>
    </x:row>
    <x:row r="18">
      <x:c r="A18" s="18" t="str">
        <x:v>2025 Summer</x:v>
      </x:c>
      <x:c r="B18" s="20" t="n">
        <x:v>15</x:v>
      </x:c>
      <x:c r="C18" s="18" t="str">
        <x:v>N.Altalhi</x:v>
      </x:c>
      <x:c r="D18" s="18" t="str">
        <x:v>WH Test Station</x:v>
      </x:c>
      <x:c r="E18" s="18" t="str">
        <x:v>8612023 PF</x:v>
      </x:c>
      <x:c r="F18" s="27" t="str">
        <x:v>PCB Stenceil</x:v>
      </x:c>
      <x:c r="G18" s="18" t="str">
        <x:v>JLCPCB</x:v>
      </x:c>
      <x:c r="H18" s="18" t="str"/>
      <x:c r="I18" s="26" t="n">
        <x:v>1</x:v>
      </x:c>
      <x:c r="J18" s="21" t="n">
        <x:v>59.13</x:v>
      </x:c>
      <x:c r="K18" s="21" t="n">
        <x:v>59.13</x:v>
      </x:c>
      <x:c r="L18" s="18" t="str">
        <x:v>yes</x:v>
      </x:c>
      <x:c r="M18" s="23" t="n">
        <x:v>45861</x:v>
      </x:c>
      <x:c r="N18" s="23" t="n">
        <x:v>45868</x:v>
      </x:c>
      <x:c r="O18" s="27" t="str">
        <x:v>Direct for lower prices next time: https://a5it.com/</x:v>
      </x:c>
    </x:row>
    <x:row r="19">
      <x:c r="A19" s="18" t="str">
        <x:v>2025 Summer</x:v>
      </x:c>
      <x:c r="B19" s="20" t="n">
        <x:v>18</x:v>
      </x:c>
      <x:c r="C19" s="18" t="str">
        <x:v>N.Altalhi</x:v>
      </x:c>
      <x:c r="D19" s="18" t="str">
        <x:v>WH Test Station</x:v>
      </x:c>
      <x:c r="E19" s="18" t="str">
        <x:v>8612023 PF</x:v>
      </x:c>
      <x:c r="F19" s="27" t="str">
        <x:v>Wonderway Sn42/Bi58 T4 Lead Free Solder Paste No Clean, 138℃ Melting Point (30gx4packs)</x:v>
      </x:c>
      <x:c r="G19" s="18" t="str">
        <x:v>Amazon</x:v>
      </x:c>
      <x:c r="H19" s="18" t="str">
        <x:v>B0D14KSQ48</x:v>
      </x:c>
      <x:c r="I19" s="26" t="n">
        <x:v>1</x:v>
      </x:c>
      <x:c r="J19" s="21" t="n">
        <x:v>22.99</x:v>
      </x:c>
      <x:c r="K19" s="21" t="n">
        <x:v>22.99</x:v>
      </x:c>
      <x:c r="L19" s="18" t="str">
        <x:v>yes</x:v>
      </x:c>
      <x:c r="M19" s="23" t="n">
        <x:v>45873</x:v>
      </x:c>
      <x:c r="N19" s="23" t="n">
        <x:v>45880</x:v>
      </x:c>
      <x:c r="O19" s="27" t="str"/>
    </x:row>
    <x:row r="20">
      <x:c r="A20" s="18" t="str">
        <x:v>2025 Summer</x:v>
      </x:c>
      <x:c r="B20" s="20" t="n">
        <x:v>19</x:v>
      </x:c>
      <x:c r="C20" s="18" t="str">
        <x:v>N.Altalhi</x:v>
      </x:c>
      <x:c r="D20" s="18" t="str">
        <x:v>WH Test Station</x:v>
      </x:c>
      <x:c r="E20" s="18" t="str">
        <x:v>8612023 PF</x:v>
      </x:c>
      <x:c r="F20" s="27" t="str">
        <x:v>Power Adapter</x:v>
      </x:c>
      <x:c r="G20" s="18" t="str">
        <x:v>Amazon</x:v>
      </x:c>
      <x:c r="H20" s="18" t="str">
        <x:v>B0DF7GKK44</x:v>
      </x:c>
      <x:c r="I20" s="26" t="n">
        <x:v>1</x:v>
      </x:c>
      <x:c r="J20" s="21" t="n">
        <x:v>15.99</x:v>
      </x:c>
      <x:c r="K20" s="21" t="n">
        <x:v>15.99</x:v>
      </x:c>
      <x:c r="L20" s="18" t="str">
        <x:v>yes</x:v>
      </x:c>
      <x:c r="M20" s="23" t="n">
        <x:v>45873</x:v>
      </x:c>
      <x:c r="N20" s="23" t="n">
        <x:v>45875</x:v>
      </x:c>
      <x:c r="O20" s="27" t="str"/>
    </x:row>
    <x:row r="21">
      <x:c r="A21" s="18" t="str">
        <x:v>2025 Summer</x:v>
      </x:c>
      <x:c r="B21" s="20" t="n">
        <x:v>20</x:v>
      </x:c>
      <x:c r="C21" s="18" t="str">
        <x:v>N.Altalhi</x:v>
      </x:c>
      <x:c r="D21" s="18" t="str">
        <x:v>WH Test Station</x:v>
      </x:c>
      <x:c r="E21" s="18" t="str">
        <x:v>8612023 PF</x:v>
      </x:c>
      <x:c r="F21" s="27" t="str">
        <x:v>Sensor Terminal Block</x:v>
      </x:c>
      <x:c r="G21" s="18" t="str">
        <x:v>Amazon</x:v>
      </x:c>
      <x:c r="H21" s="18" t="str">
        <x:v>B07RJQDT2X</x:v>
      </x:c>
      <x:c r="I21" s="26" t="n">
        <x:v>1</x:v>
      </x:c>
      <x:c r="J21" s="21" t="n">
        <x:v>8.27</x:v>
      </x:c>
      <x:c r="K21" s="21" t="n">
        <x:v>8.27</x:v>
      </x:c>
      <x:c r="L21" s="18" t="str">
        <x:v>yes</x:v>
      </x:c>
      <x:c r="M21" s="23" t="n">
        <x:v>45873</x:v>
      </x:c>
      <x:c r="N21" s="23" t="n">
        <x:v>45875</x:v>
      </x:c>
      <x:c r="O21" s="27" t="str"/>
    </x:row>
    <x:row r="22">
      <x:c r="A22" s="18" t="str">
        <x:v>2025 Summer</x:v>
      </x:c>
      <x:c r="B22" s="20" t="n">
        <x:v>21</x:v>
      </x:c>
      <x:c r="C22" s="18" t="str">
        <x:v>N.Altalhi</x:v>
      </x:c>
      <x:c r="D22" s="18" t="str">
        <x:v>WH Test Station</x:v>
      </x:c>
      <x:c r="E22" s="18" t="str">
        <x:v>8612023 PF</x:v>
      </x:c>
      <x:c r="F22" s="27" t="str">
        <x:v>SMD 1206 Kit</x:v>
      </x:c>
      <x:c r="G22" s="18" t="str">
        <x:v>Amazon</x:v>
      </x:c>
      <x:c r="H22" s="18" t="str">
        <x:v>B0B2ZSXLV9</x:v>
      </x:c>
      <x:c r="I22" s="26" t="n">
        <x:v>1</x:v>
      </x:c>
      <x:c r="J22" s="21" t="n">
        <x:v>37.8</x:v>
      </x:c>
      <x:c r="K22" s="21" t="n">
        <x:v>37.8</x:v>
      </x:c>
      <x:c r="L22" s="18" t="str">
        <x:v>yes</x:v>
      </x:c>
      <x:c r="M22" s="23" t="n">
        <x:v>45873</x:v>
      </x:c>
      <x:c r="N22" s="23" t="n">
        <x:v>45875</x:v>
      </x:c>
      <x:c r="O22" s="27" t="str"/>
    </x:row>
    <x:row r="23">
      <x:c r="A23" s="18" t="str">
        <x:v>2025 Summer</x:v>
      </x:c>
      <x:c r="B23" s="20" t="n">
        <x:v>22</x:v>
      </x:c>
      <x:c r="C23" s="18" t="str">
        <x:v>N.Altalhi</x:v>
      </x:c>
      <x:c r="D23" s="18" t="str">
        <x:v>WH Test Station</x:v>
      </x:c>
      <x:c r="E23" s="18" t="str">
        <x:v>8612023 PF</x:v>
      </x:c>
      <x:c r="F23" s="27" t="str">
        <x:v>DC POWER JACK, BKZ LOCKING SERIE</x:v>
      </x:c>
      <x:c r="G23" s="18" t="str">
        <x:v>DigiKey</x:v>
      </x:c>
      <x:c r="H23" s="18" t="str">
        <x:v>SC3832-ND</x:v>
      </x:c>
      <x:c r="I23" s="26" t="n">
        <x:v>2</x:v>
      </x:c>
      <x:c r="J23" s="21" t="n">
        <x:v>2.96</x:v>
      </x:c>
      <x:c r="K23" s="21" t="n">
        <x:v>5.92</x:v>
      </x:c>
      <x:c r="L23" s="18" t="str">
        <x:v>yes</x:v>
      </x:c>
      <x:c r="M23" s="23" t="n">
        <x:v>45873</x:v>
      </x:c>
      <x:c r="N23" s="23" t="n">
        <x:v>45880</x:v>
      </x:c>
      <x:c r="O23" s="27" t="str"/>
    </x:row>
    <x:row r="24">
      <x:c r="A24" s="18" t="str">
        <x:v>2025 Summer</x:v>
      </x:c>
      <x:c r="B24" s="20" t="n">
        <x:v>23</x:v>
      </x:c>
      <x:c r="C24" s="18" t="str">
        <x:v>N.Altalhi</x:v>
      </x:c>
      <x:c r="D24" s="18" t="str">
        <x:v>WH Test Station</x:v>
      </x:c>
      <x:c r="E24" s="18" t="str">
        <x:v>8612023 PF</x:v>
      </x:c>
      <x:c r="F24" s="27" t="str">
        <x:v>RELAY GEN PURPOSE</x:v>
      </x:c>
      <x:c r="G24" s="18" t="str">
        <x:v>DigiKey</x:v>
      </x:c>
      <x:c r="H24" s="18" t="str">
        <x:v>Z2254-ND</x:v>
      </x:c>
      <x:c r="I24" s="26" t="n">
        <x:v>2</x:v>
      </x:c>
      <x:c r="J24" s="21" t="n">
        <x:v>1.53</x:v>
      </x:c>
      <x:c r="K24" s="21" t="n">
        <x:v>3.06</x:v>
      </x:c>
      <x:c r="L24" s="18" t="str">
        <x:v>yes</x:v>
      </x:c>
      <x:c r="M24" s="23" t="n">
        <x:v>45873</x:v>
      </x:c>
      <x:c r="N24" s="23" t="n">
        <x:v>45880</x:v>
      </x:c>
      <x:c r="O24" s="27" t="str"/>
    </x:row>
    <x:row r="25">
      <x:c r="A25" s="18" t="str">
        <x:v>2025 Summer</x:v>
      </x:c>
      <x:c r="B25" s="20" t="n">
        <x:v>24</x:v>
      </x:c>
      <x:c r="C25" s="18" t="str">
        <x:v>N.Altalhi</x:v>
      </x:c>
      <x:c r="D25" s="18" t="str">
        <x:v>WH Test Station</x:v>
      </x:c>
      <x:c r="E25" s="18" t="str">
        <x:v>8612023 PF</x:v>
      </x:c>
      <x:c r="F25" s="27" t="str">
        <x:v>POWER VOLTAGE AND CURRENT SENSOR</x:v>
      </x:c>
      <x:c r="G25" s="18" t="str">
        <x:v>DigiKey</x:v>
      </x:c>
      <x:c r="H25" s="18" t="str">
        <x:v>620-ACS37800KMACTR-090B3-I2CCT-ND</x:v>
      </x:c>
      <x:c r="I25" s="26" t="n">
        <x:v>6</x:v>
      </x:c>
      <x:c r="J25" s="21" t="n">
        <x:v>4.67</x:v>
      </x:c>
      <x:c r="K25" s="21" t="n">
        <x:v>28</x:v>
      </x:c>
      <x:c r="L25" s="18" t="str">
        <x:v>yes</x:v>
      </x:c>
      <x:c r="M25" s="23" t="n">
        <x:v>45873</x:v>
      </x:c>
      <x:c r="N25" s="23" t="n">
        <x:v>45880</x:v>
      </x:c>
      <x:c r="O25" s="27" t="str"/>
    </x:row>
    <x:row r="26">
      <x:c r="A26" s="18" t="str">
        <x:v>2025 Summer</x:v>
      </x:c>
      <x:c r="B26" s="20" t="n">
        <x:v>25</x:v>
      </x:c>
      <x:c r="C26" s="18" t="str">
        <x:v>N.Altalhi</x:v>
      </x:c>
      <x:c r="D26" s="18" t="str">
        <x:v>WH Test Station</x:v>
      </x:c>
      <x:c r="E26" s="18" t="str">
        <x:v>8612023 PF</x:v>
      </x:c>
      <x:c r="F26" s="27" t="str">
        <x:v>Standard (General Purpose) Amplifier 4 Circuit 14-SO</x:v>
      </x:c>
      <x:c r="G26" s="18" t="str">
        <x:v>DigiKey</x:v>
      </x:c>
      <x:c r="H26" s="18" t="str">
        <x:v>296-9543-1-ND</x:v>
      </x:c>
      <x:c r="I26" s="26" t="n">
        <x:v>10</x:v>
      </x:c>
      <x:c r="J26" s="21" t="n">
        <x:v>0.34</x:v>
      </x:c>
      <x:c r="K26" s="21" t="n">
        <x:v>3.42</x:v>
      </x:c>
      <x:c r="L26" s="18" t="str">
        <x:v>yes</x:v>
      </x:c>
      <x:c r="M26" s="23" t="n">
        <x:v>45873</x:v>
      </x:c>
      <x:c r="N26" s="23" t="n">
        <x:v>45880</x:v>
      </x:c>
      <x:c r="O26" s="27" t="str"/>
    </x:row>
    <x:row r="27">
      <x:c r="A27" s="18" t="str">
        <x:v>2025 Summer</x:v>
      </x:c>
      <x:c r="B27" s="20" t="n">
        <x:v>26</x:v>
      </x:c>
      <x:c r="C27" s="18" t="str">
        <x:v>N.Altalhi</x:v>
      </x:c>
      <x:c r="D27" s="18" t="str">
        <x:v>WH Test Station</x:v>
      </x:c>
      <x:c r="E27" s="18" t="str">
        <x:v>8612023 PF</x:v>
      </x:c>
      <x:c r="F27" s="27" t="str">
        <x:v>SENSOR ANALOG 0C-100C 8SOIC</x:v>
      </x:c>
      <x:c r="G27" s="18" t="str">
        <x:v>DigiKey</x:v>
      </x:c>
      <x:c r="H27" s="18" t="str">
        <x:v>LM35DMX/NOPBCT-ND</x:v>
      </x:c>
      <x:c r="I27" s="26" t="n">
        <x:v>5</x:v>
      </x:c>
      <x:c r="J27" s="21" t="n">
        <x:v>1.51</x:v>
      </x:c>
      <x:c r="K27" s="21" t="n">
        <x:v>7.55</x:v>
      </x:c>
      <x:c r="L27" s="18" t="str">
        <x:v>yes</x:v>
      </x:c>
      <x:c r="M27" s="23" t="n">
        <x:v>45873</x:v>
      </x:c>
      <x:c r="N27" s="23" t="n">
        <x:v>45880</x:v>
      </x:c>
      <x:c r="O27" s="27" t="str"/>
    </x:row>
    <x:row r="28">
      <x:c r="A28" s="18" t="str">
        <x:v>2025 Summer</x:v>
      </x:c>
      <x:c r="B28" s="20" t="n">
        <x:v>27</x:v>
      </x:c>
      <x:c r="C28" s="18" t="str">
        <x:v>N.Altalhi</x:v>
      </x:c>
      <x:c r="D28" s="18" t="str">
        <x:v>WH Test Station</x:v>
      </x:c>
      <x:c r="E28" s="18" t="str">
        <x:v>8612023 PF</x:v>
      </x:c>
      <x:c r="F28" s="27" t="str">
        <x:v>CAP ALUM 100UF 20% 50V SMD</x:v>
      </x:c>
      <x:c r="G28" s="18" t="str">
        <x:v>DigiKey</x:v>
      </x:c>
      <x:c r="H28" s="18" t="str">
        <x:v>PCE5024CT-ND</x:v>
      </x:c>
      <x:c r="I28" s="26" t="n">
        <x:v>5</x:v>
      </x:c>
      <x:c r="J28" s="21" t="n">
        <x:v>0.93</x:v>
      </x:c>
      <x:c r="K28" s="21" t="n">
        <x:v>4.65</x:v>
      </x:c>
      <x:c r="L28" s="18" t="str">
        <x:v>yes</x:v>
      </x:c>
      <x:c r="M28" s="23" t="n">
        <x:v>45873</x:v>
      </x:c>
      <x:c r="N28" s="23" t="n">
        <x:v>45880</x:v>
      </x:c>
      <x:c r="O28" s="27" t="str"/>
    </x:row>
    <x:row r="29">
      <x:c r="A29" s="18" t="str">
        <x:v>2025 Summer</x:v>
      </x:c>
      <x:c r="B29" s="20" t="n">
        <x:v>28</x:v>
      </x:c>
      <x:c r="C29" s="18" t="str">
        <x:v>N.Altalhi</x:v>
      </x:c>
      <x:c r="D29" s="18" t="str">
        <x:v>WH Test Station</x:v>
      </x:c>
      <x:c r="E29" s="18" t="str">
        <x:v>8612023 PF</x:v>
      </x:c>
      <x:c r="F29" s="27" t="str">
        <x:v>CONN BARRIER STRIP 2CIRC 0.25"</x:v>
      </x:c>
      <x:c r="G29" s="18" t="str">
        <x:v>DigiKey</x:v>
      </x:c>
      <x:c r="H29" s="18" t="str">
        <x:v>3PCV-02-006-ND</x:v>
      </x:c>
      <x:c r="I29" s="26" t="n">
        <x:v>5</x:v>
      </x:c>
      <x:c r="J29" s="21" t="n">
        <x:v>2.52</x:v>
      </x:c>
      <x:c r="K29" s="21" t="n">
        <x:v>12.6</x:v>
      </x:c>
      <x:c r="L29" s="18" t="str">
        <x:v>yes</x:v>
      </x:c>
      <x:c r="M29" s="23" t="n">
        <x:v>45873</x:v>
      </x:c>
      <x:c r="N29" s="23" t="n">
        <x:v>45880</x:v>
      </x:c>
      <x:c r="O29" s="27" t="str"/>
    </x:row>
    <x:row r="30">
      <x:c r="A30" s="18" t="str">
        <x:v>2025 Summer</x:v>
      </x:c>
      <x:c r="B30" s="20" t="n">
        <x:v>29</x:v>
      </x:c>
      <x:c r="C30" s="18" t="str">
        <x:v>N.Altalhi</x:v>
      </x:c>
      <x:c r="D30" s="18" t="str">
        <x:v>WH Test Station</x:v>
      </x:c>
      <x:c r="E30" s="18" t="str">
        <x:v>8612023 PF</x:v>
      </x:c>
      <x:c r="F30" s="27" t="str">
        <x:v>TERM BLK 2P SIDE ENT 12.7MM PCB</x:v>
      </x:c>
      <x:c r="G30" s="18" t="str">
        <x:v>DigiKey</x:v>
      </x:c>
      <x:c r="H30" s="18" t="str">
        <x:v>277-9071-ND</x:v>
      </x:c>
      <x:c r="I30" s="26" t="n">
        <x:v>4</x:v>
      </x:c>
      <x:c r="J30" s="21" t="n">
        <x:v>9.66</x:v>
      </x:c>
      <x:c r="K30" s="21" t="n">
        <x:v>38.64</x:v>
      </x:c>
      <x:c r="L30" s="18" t="str">
        <x:v>yes</x:v>
      </x:c>
      <x:c r="M30" s="23" t="n">
        <x:v>45873</x:v>
      </x:c>
      <x:c r="N30" s="23" t="n">
        <x:v>45880</x:v>
      </x:c>
      <x:c r="O30" s="27" t="str"/>
    </x:row>
    <x:row r="31">
      <x:c r="A31" s="18" t="str">
        <x:v>2025 Summer</x:v>
      </x:c>
      <x:c r="B31" s="20" t="n">
        <x:v>30</x:v>
      </x:c>
      <x:c r="C31" s="18" t="str">
        <x:v>N.Altalhi</x:v>
      </x:c>
      <x:c r="D31" s="18" t="str">
        <x:v>WH Test Station</x:v>
      </x:c>
      <x:c r="E31" s="18" t="str">
        <x:v>8612023 PF</x:v>
      </x:c>
      <x:c r="F31" s="27" t="str">
        <x:v>SCREW TYPE, TERMINAL BLOCK, RIGH</x:v>
      </x:c>
      <x:c r="G31" s="18" t="str">
        <x:v>DigiKey</x:v>
      </x:c>
      <x:c r="H31" s="18" t="str">
        <x:v>1849-1340-ND</x:v>
      </x:c>
      <x:c r="I31" s="26" t="n">
        <x:v>2</x:v>
      </x:c>
      <x:c r="J31" s="21" t="n">
        <x:v>1.31</x:v>
      </x:c>
      <x:c r="K31" s="21" t="n">
        <x:v>2.62</x:v>
      </x:c>
      <x:c r="L31" s="18" t="str">
        <x:v>yes</x:v>
      </x:c>
      <x:c r="M31" s="23" t="n">
        <x:v>45873</x:v>
      </x:c>
      <x:c r="N31" s="23" t="n">
        <x:v>45880</x:v>
      </x:c>
      <x:c r="O31" s="27" t="str"/>
    </x:row>
    <x:row r="32">
      <x:c r="A32" s="18" t="str">
        <x:v>2025 Summer</x:v>
      </x:c>
      <x:c r="B32" s="20" t="n">
        <x:v>31</x:v>
      </x:c>
      <x:c r="C32" s="18" t="str">
        <x:v>N.Altalhi</x:v>
      </x:c>
      <x:c r="D32" s="18" t="str">
        <x:v>WH Test Station</x:v>
      </x:c>
      <x:c r="E32" s="18" t="str">
        <x:v>8612023 PF</x:v>
      </x:c>
      <x:c r="F32" s="27" t="str">
        <x:v>DIODE STANDARD 1000V 1A SOD123FL</x:v>
      </x:c>
      <x:c r="G32" s="18" t="str">
        <x:v>DigiKey</x:v>
      </x:c>
      <x:c r="H32" s="18" t="str">
        <x:v>5272-1N4007WCT-ND</x:v>
      </x:c>
      <x:c r="I32" s="26" t="n">
        <x:v>10</x:v>
      </x:c>
      <x:c r="J32" s="21" t="n">
        <x:v>0.06</x:v>
      </x:c>
      <x:c r="K32" s="21" t="n">
        <x:v>0.59</x:v>
      </x:c>
      <x:c r="L32" s="18" t="str">
        <x:v>yes</x:v>
      </x:c>
      <x:c r="M32" s="23" t="n">
        <x:v>45873</x:v>
      </x:c>
      <x:c r="N32" s="23" t="n">
        <x:v>45880</x:v>
      </x:c>
      <x:c r="O32" s="27" t="str"/>
    </x:row>
    <x:row r="33">
      <x:c r="A33" s="18" t="str">
        <x:v>2025 Summer</x:v>
      </x:c>
      <x:c r="B33" s="20" t="n">
        <x:v>32</x:v>
      </x:c>
      <x:c r="C33" s="18" t="str">
        <x:v>N.Altalhi</x:v>
      </x:c>
      <x:c r="D33" s="18" t="str">
        <x:v>WH Test Station</x:v>
      </x:c>
      <x:c r="E33" s="18" t="str">
        <x:v>8612023 PF</x:v>
      </x:c>
      <x:c r="F33" s="27" t="str">
        <x:v>TRANS NPN 40V 0.2A SOT23-3</x:v>
      </x:c>
      <x:c r="G33" s="18" t="str">
        <x:v>DigiKey</x:v>
      </x:c>
      <x:c r="H33" s="18" t="str">
        <x:v>4878-MMBT3904CT-ND</x:v>
      </x:c>
      <x:c r="I33" s="26" t="n">
        <x:v>10</x:v>
      </x:c>
      <x:c r="J33" s="21" t="n">
        <x:v>0.07</x:v>
      </x:c>
      <x:c r="K33" s="21" t="n">
        <x:v>0.7</x:v>
      </x:c>
      <x:c r="L33" s="18" t="str">
        <x:v>yes</x:v>
      </x:c>
      <x:c r="M33" s="23" t="n">
        <x:v>45873</x:v>
      </x:c>
      <x:c r="N33" s="23" t="n">
        <x:v>45880</x:v>
      </x:c>
      <x:c r="O33" s="27" t="str"/>
    </x:row>
    <x:row r="34">
      <x:c r="A34" s="18" t="str">
        <x:v>2025 Summer</x:v>
      </x:c>
      <x:c r="B34" s="20" t="n">
        <x:v>33</x:v>
      </x:c>
      <x:c r="C34" s="18" t="str">
        <x:v>N.Altalhi</x:v>
      </x:c>
      <x:c r="D34" s="18" t="str">
        <x:v>WH Test Station</x:v>
      </x:c>
      <x:c r="E34" s="18" t="str">
        <x:v>8612023 PF</x:v>
      </x:c>
      <x:c r="F34" s="27" t="str">
        <x:v>CONN SOCKET 40POS 0.1 TIN PCB</x:v>
      </x:c>
      <x:c r="G34" s="18" t="str">
        <x:v>DigiKey</x:v>
      </x:c>
      <x:c r="H34" s="18" t="str">
        <x:v>ESW-120-12-T-D-ND</x:v>
      </x:c>
      <x:c r="I34" s="26" t="n">
        <x:v>2</x:v>
      </x:c>
      <x:c r="J34" s="21" t="n">
        <x:v>2.91</x:v>
      </x:c>
      <x:c r="K34" s="21" t="n">
        <x:v>5.82</x:v>
      </x:c>
      <x:c r="L34" s="18" t="str">
        <x:v>yes</x:v>
      </x:c>
      <x:c r="M34" s="23" t="n">
        <x:v>45873</x:v>
      </x:c>
      <x:c r="N34" s="23" t="n">
        <x:v>45880</x:v>
      </x:c>
      <x:c r="O34" s="27" t="str"/>
    </x:row>
    <x:row r="35">
      <x:c r="A35" s="18" t="str">
        <x:v>2025 Summer</x:v>
      </x:c>
      <x:c r="B35" s="20" t="n">
        <x:v>34</x:v>
      </x:c>
      <x:c r="C35" s="18" t="str">
        <x:v>N.Altalhi</x:v>
      </x:c>
      <x:c r="D35" s="18" t="str">
        <x:v>WH Test Station</x:v>
      </x:c>
      <x:c r="E35" s="18" t="str">
        <x:v>8612023 PF</x:v>
      </x:c>
      <x:c r="F35" s="27" t="str">
        <x:v>Transfomer BV302S12015</x:v>
      </x:c>
      <x:c r="G35" s="18" t="str">
        <x:v>DigiKey</x:v>
      </x:c>
      <x:c r="H35" s="18" t="str">
        <x:v>3388-BV302S12015-ND</x:v>
      </x:c>
      <x:c r="I35" s="26" t="n">
        <x:v>4</x:v>
      </x:c>
      <x:c r="J35" s="21" t="n">
        <x:v>2.87</x:v>
      </x:c>
      <x:c r="K35" s="21" t="n">
        <x:v>11.48</x:v>
      </x:c>
      <x:c r="L35" s="18" t="str">
        <x:v>yes</x:v>
      </x:c>
      <x:c r="M35" s="23" t="n">
        <x:v>45881</x:v>
      </x:c>
      <x:c r="N35" s="23" t="n">
        <x:v>45889</x:v>
      </x:c>
      <x:c r="O35" s="27" t="str"/>
    </x:row>
    <x:row r="36">
      <x:c r="A36" s="18" t="str">
        <x:v>2025 Summer</x:v>
      </x:c>
      <x:c r="B36" s="20" t="n">
        <x:v>35</x:v>
      </x:c>
      <x:c r="C36" s="18" t="str">
        <x:v>N.Altalhi</x:v>
      </x:c>
      <x:c r="D36" s="18" t="str">
        <x:v>WH Test Station</x:v>
      </x:c>
      <x:c r="E36" s="18" t="str">
        <x:v>8612023 PF</x:v>
      </x:c>
      <x:c r="F36" s="27" t="str">
        <x:v>Level shifter TXS0104EQPWRQ1</x:v>
      </x:c>
      <x:c r="G36" s="18" t="str">
        <x:v>DigiKey</x:v>
      </x:c>
      <x:c r="H36" s="18" t="str">
        <x:v>296-41034-1-ND</x:v>
      </x:c>
      <x:c r="I36" s="26" t="n">
        <x:v>10</x:v>
      </x:c>
      <x:c r="J36" s="21" t="n">
        <x:v>0.86</x:v>
      </x:c>
      <x:c r="K36" s="21" t="n">
        <x:v>8.63</x:v>
      </x:c>
      <x:c r="L36" s="18" t="str">
        <x:v>yes</x:v>
      </x:c>
      <x:c r="M36" s="23" t="n">
        <x:v>45881</x:v>
      </x:c>
      <x:c r="N36" s="23" t="n">
        <x:v>45889</x:v>
      </x:c>
      <x:c r="O36" s="27" t="str"/>
    </x:row>
    <x:row r="37">
      <x:c r="A37" s="18" t="str">
        <x:v>2025 Summer</x:v>
      </x:c>
      <x:c r="B37" s="20" t="n">
        <x:v>36</x:v>
      </x:c>
      <x:c r="C37" s="18" t="str">
        <x:v>N.Altalhi</x:v>
      </x:c>
      <x:c r="D37" s="18" t="str">
        <x:v>WH Test Station</x:v>
      </x:c>
      <x:c r="E37" s="18" t="str">
        <x:v>8612023 PF</x:v>
      </x:c>
      <x:c r="F37" s="27" t="str">
        <x:v>YIHUA 8786D I 2 in 1 Hot Air Rework and Soldering Iron Station with °F /°C, Cool/Hot Air Conversion, Digital Temperature Correction and Sleep Function</x:v>
      </x:c>
      <x:c r="G37" s="18" t="str">
        <x:v>Amazon</x:v>
      </x:c>
      <x:c r="H37" s="18" t="str">
        <x:v>B07SCPZJYS</x:v>
      </x:c>
      <x:c r="I37" s="26" t="n">
        <x:v>1</x:v>
      </x:c>
      <x:c r="J37" s="21" t="n">
        <x:v>74.98</x:v>
      </x:c>
      <x:c r="K37" s="21" t="n">
        <x:v>74.98</x:v>
      </x:c>
      <x:c r="L37" s="18" t="str">
        <x:v>yes</x:v>
      </x:c>
      <x:c r="M37" s="23" t="n">
        <x:v>45884</x:v>
      </x:c>
      <x:c r="N37" s="23" t="n">
        <x:v>45888</x:v>
      </x:c>
      <x:c r="O37" s="27" t="str"/>
    </x:row>
    <x:row r="38">
      <x:c r="A38" s="18" t="str">
        <x:v>2025 Summer</x:v>
      </x:c>
      <x:c r="B38" s="20" t="n">
        <x:v>37</x:v>
      </x:c>
      <x:c r="C38" s="18" t="str">
        <x:v>N.Altalhi</x:v>
      </x:c>
      <x:c r="D38" s="18" t="str">
        <x:v>WH Test Station</x:v>
      </x:c>
      <x:c r="E38" s="18" t="str">
        <x:v>8612023 PF</x:v>
      </x:c>
      <x:c r="F38" s="27" t="str">
        <x:v>PCB board</x:v>
      </x:c>
      <x:c r="G38" s="18" t="str">
        <x:v>JLCPCB</x:v>
      </x:c>
      <x:c r="H38" s="18" t="str"/>
      <x:c r="I38" s="26" t="n">
        <x:v>1</x:v>
      </x:c>
      <x:c r="J38" s="21" t="n">
        <x:v>33.51</x:v>
      </x:c>
      <x:c r="K38" s="21" t="n">
        <x:v>33.51</x:v>
      </x:c>
      <x:c r="L38" s="18" t="str">
        <x:v>yes</x:v>
      </x:c>
      <x:c r="M38" s="23"/>
      <x:c r="N38" s="23" t="n">
        <x:v>45894</x:v>
      </x:c>
      <x:c r="O38" s="27" t="str"/>
    </x:row>
    <x:row r="39">
      <x:c r="A39" s="18" t="str">
        <x:v>2025 Fall</x:v>
      </x:c>
      <x:c r="B39" s="20" t="n">
        <x:v>21</x:v>
      </x:c>
      <x:c r="C39" s="18" t="str">
        <x:v>N.Altalhi</x:v>
      </x:c>
      <x:c r="D39" s="18" t="str">
        <x:v>WH Test Station</x:v>
      </x:c>
      <x:c r="E39" s="18" t="str">
        <x:v>8612023 PF</x:v>
      </x:c>
      <x:c r="F39" s="27" t="str">
        <x:v>ABS Electrical Junction Box, Ventilated Design, Cable Grommets, IP65 Waterproof Enclosure, Indoor/Outdoor Use with Mounting Panel. (Clear Cover, 11"x7.4"x5.5")</x:v>
      </x:c>
      <x:c r="G39" s="18" t="str">
        <x:v>Amazon</x:v>
      </x:c>
      <x:c r="H39" s="18" t="str">
        <x:v>B0D25HV4X7</x:v>
      </x:c>
      <x:c r="I39" s="26" t="n">
        <x:v>1</x:v>
      </x:c>
      <x:c r="J39" s="21" t="n">
        <x:v>39.99</x:v>
      </x:c>
      <x:c r="K39" s="21" t="n">
        <x:v>39.99</x:v>
      </x:c>
      <x:c r="L39" s="18" t="str">
        <x:v>yes</x:v>
      </x:c>
      <x:c r="M39" s="23" t="n">
        <x:v>45952</x:v>
      </x:c>
      <x:c r="N39" s="23" t="n">
        <x:v>45958</x:v>
      </x:c>
      <x:c r="O39" s="27" t="str"/>
    </x:row>
    <x:row r="40">
      <x:c r="A40" s="18" t="str">
        <x:v>2025 Fall</x:v>
      </x:c>
      <x:c r="B40" s="20" t="n">
        <x:v>22</x:v>
      </x:c>
      <x:c r="C40" s="18" t="str">
        <x:v>N.Altalhi</x:v>
      </x:c>
      <x:c r="D40" s="18" t="str">
        <x:v>WH Test Station</x:v>
      </x:c>
      <x:c r="E40" s="18" t="str">
        <x:v>8612023 PF</x:v>
      </x:c>
      <x:c r="F40" s="27" t="str">
        <x:v>M12 4 Pins Female Connector Cable, Waterproof IP67 Solder Locking System, Brass Gold-Plated Contacts, A Code Straight Aviation Sensor Electrical 250V 4A Industrial Grade Cable (5 Meter)</x:v>
      </x:c>
      <x:c r="G40" s="18" t="str">
        <x:v>Amazon</x:v>
      </x:c>
      <x:c r="H40" s="18" t="str">
        <x:v>B0DNX6ZPZQ</x:v>
      </x:c>
      <x:c r="I40" s="26" t="n">
        <x:v>3</x:v>
      </x:c>
      <x:c r="J40" s="21" t="n">
        <x:v>17.99</x:v>
      </x:c>
      <x:c r="K40" s="21" t="n">
        <x:v>53.97</x:v>
      </x:c>
      <x:c r="L40" s="18" t="str">
        <x:v>yes</x:v>
      </x:c>
      <x:c r="M40" s="23" t="n">
        <x:v>45952</x:v>
      </x:c>
      <x:c r="N40" s="23" t="n">
        <x:v>45958</x:v>
      </x:c>
      <x:c r="O40" s="27" t="str"/>
    </x:row>
    <x:row r="41">
      <x:c r="A41" s="18" t="str">
        <x:v>2025 Fall</x:v>
      </x:c>
      <x:c r="B41" s="20" t="n">
        <x:v>23</x:v>
      </x:c>
      <x:c r="C41" s="18" t="str">
        <x:v>N.Altalhi</x:v>
      </x:c>
      <x:c r="D41" s="18" t="str">
        <x:v>WH Test Station</x:v>
      </x:c>
      <x:c r="E41" s="18" t="str">
        <x:v>8612023 PF</x:v>
      </x:c>
      <x:c r="F41" s="27" t="str">
        <x:v>Flow Transmitter Variable-Area Flow, 3/4 NPT Female, 0.2 to 10 gpm</x:v>
      </x:c>
      <x:c r="G41" s="18" t="str">
        <x:v>McMASTER-CARR</x:v>
      </x:c>
      <x:c r="H41" s="18" t="str">
        <x:v>4386N107</x:v>
      </x:c>
      <x:c r="I41" s="26" t="n">
        <x:v>3</x:v>
      </x:c>
      <x:c r="J41" s="21" t="n">
        <x:v>381.48</x:v>
      </x:c>
      <x:c r="K41" s="21" t="n">
        <x:v>1144.44</x:v>
      </x:c>
      <x:c r="L41" s="18" t="str">
        <x:v>yes</x:v>
      </x:c>
      <x:c r="M41" s="23" t="n">
        <x:v>45952</x:v>
      </x:c>
      <x:c r="N41" s="23" t="n">
        <x:v>45953</x:v>
      </x:c>
      <x:c r="O41" s="27" t="str"/>
    </x:row>
    <x:row r="42">
      <x:c r="A42" s="18" t="str">
        <x:v>2025 Fall</x:v>
      </x:c>
      <x:c r="B42" s="20" t="n">
        <x:v>24</x:v>
      </x:c>
      <x:c r="C42" s="18" t="str">
        <x:v>N.Altalhi</x:v>
      </x:c>
      <x:c r="D42" s="18" t="str">
        <x:v>WH Test Station</x:v>
      </x:c>
      <x:c r="E42" s="18" t="str">
        <x:v>8612023 PF</x:v>
      </x:c>
      <x:c r="F42" s="27" t="str">
        <x:v>Flow-Adjustment Valve with Flow-Indicating Lever Handle, 3/4 NPT Female</x:v>
      </x:c>
      <x:c r="G42" s="18" t="str">
        <x:v>McMASTER-CARR</x:v>
      </x:c>
      <x:c r="H42" s="18" t="str">
        <x:v>4682K55</x:v>
      </x:c>
      <x:c r="I42" s="26" t="n">
        <x:v>3</x:v>
      </x:c>
      <x:c r="J42" s="21" t="n">
        <x:v>57.34</x:v>
      </x:c>
      <x:c r="K42" s="21" t="n">
        <x:v>172.02</x:v>
      </x:c>
      <x:c r="L42" s="18" t="str">
        <x:v>yes</x:v>
      </x:c>
      <x:c r="M42" s="23" t="n">
        <x:v>45952</x:v>
      </x:c>
      <x:c r="N42" s="23" t="n">
        <x:v>45953</x:v>
      </x:c>
      <x:c r="O42" s="27" t="str"/>
    </x:row>
    <x:row r="43">
      <x:c r="A43" s="18" t="str">
        <x:v>2025 Fall</x:v>
      </x:c>
      <x:c r="B43" s="20" t="n">
        <x:v>25</x:v>
      </x:c>
      <x:c r="C43" s="18" t="str">
        <x:v>N.Altalhi</x:v>
      </x:c>
      <x:c r="D43" s="18" t="str">
        <x:v>WH Test Station</x:v>
      </x:c>
      <x:c r="E43" s="18" t="str">
        <x:v>8612023 PF</x:v>
      </x:c>
      <x:c r="F43" s="27" t="str">
        <x:v>1/2" NPT Male x 1/4" NPT Female Brass Bushing Reducer Reducing Pipe Adapter Fitting 5pcs 1200 PSI</x:v>
      </x:c>
      <x:c r="G43" s="18" t="str">
        <x:v>Amazon</x:v>
      </x:c>
      <x:c r="H43" s="18" t="str">
        <x:v>B07SHS78WD</x:v>
      </x:c>
      <x:c r="I43" s="26" t="n">
        <x:v>1</x:v>
      </x:c>
      <x:c r="J43" s="21" t="n">
        <x:v>9.99</x:v>
      </x:c>
      <x:c r="K43" s="21" t="n">
        <x:v>9.99</x:v>
      </x:c>
      <x:c r="L43" s="18" t="str">
        <x:v>yes</x:v>
      </x:c>
      <x:c r="M43" s="23" t="n">
        <x:v>45954</x:v>
      </x:c>
      <x:c r="N43" s="23" t="n">
        <x:v>45958</x:v>
      </x:c>
      <x:c r="O43" s="27" t="str"/>
    </x:row>
    <x:row r="44">
      <x:c r="A44" s="18" t="str">
        <x:v>2025 Fall</x:v>
      </x:c>
      <x:c r="B44" s="20" t="n">
        <x:v>26</x:v>
      </x:c>
      <x:c r="C44" s="18" t="str">
        <x:v>N.Altalhi</x:v>
      </x:c>
      <x:c r="D44" s="18" t="str">
        <x:v>WH Test Station</x:v>
      </x:c>
      <x:c r="E44" s="18" t="str">
        <x:v>8612023 PF</x:v>
      </x:c>
      <x:c r="F44" s="27" t="str">
        <x:v>TWTADE Industrial Temperature Sensor Temperature Transmitter -50°C~+150°C, 2-Wire 4-20mA Signal Output 1/4" NPT, Male Thread, Probe Rod Length: 30MM</x:v>
      </x:c>
      <x:c r="G44" s="18" t="str">
        <x:v>Amazon</x:v>
      </x:c>
      <x:c r="H44" s="18" t="str">
        <x:v>B07RKLWBYC</x:v>
      </x:c>
      <x:c r="I44" s="26" t="n">
        <x:v>3</x:v>
      </x:c>
      <x:c r="J44" s="21" t="n">
        <x:v>49.99</x:v>
      </x:c>
      <x:c r="K44" s="21" t="n">
        <x:v>149.97</x:v>
      </x:c>
      <x:c r="L44" s="18" t="str">
        <x:v>yes</x:v>
      </x:c>
      <x:c r="M44" s="23" t="n">
        <x:v>45954</x:v>
      </x:c>
      <x:c r="N44" s="23" t="n">
        <x:v>45958</x:v>
      </x:c>
      <x:c r="O44" s="27" t="str"/>
    </x:row>
    <x:row r="45">
      <x:c r="A45" s="18" t="str">
        <x:v>2025 Fall</x:v>
      </x:c>
      <x:c r="B45" s="20" t="n">
        <x:v>36</x:v>
      </x:c>
      <x:c r="C45" s="18" t="str">
        <x:v>N.Altalhi</x:v>
      </x:c>
      <x:c r="D45" s="18" t="str">
        <x:v>WH Test Station</x:v>
      </x:c>
      <x:c r="E45" s="18" t="str">
        <x:v>8612023 PF</x:v>
      </x:c>
      <x:c r="F45" s="27" t="str">
        <x:v>3M High Strength Small Hole Repair Kit, Inlcudes Spackling Compound, Putty Knife, Sanding Sponge, and Self-Adhesive Patch, For Hole Repairs Up To 3" in Diameter, Easy Wall Repair (SHR-SIOCKIT)</x:v>
      </x:c>
      <x:c r="G45" s="18" t="str">
        <x:v>Amazon</x:v>
      </x:c>
      <x:c r="H45" s="18" t="str">
        <x:v>B09TG23N16</x:v>
      </x:c>
      <x:c r="I45" s="26" t="n">
        <x:v>1</x:v>
      </x:c>
      <x:c r="J45" s="21" t="n">
        <x:v>10.16</x:v>
      </x:c>
      <x:c r="K45" s="21" t="n">
        <x:v>10.16</x:v>
      </x:c>
      <x:c r="L45" s="18" t="str">
        <x:v>yes</x:v>
      </x:c>
      <x:c r="M45" s="23" t="n">
        <x:v>45980</x:v>
      </x:c>
      <x:c r="N45" s="23" t="n">
        <x:v>45981</x:v>
      </x:c>
      <x:c r="O45" s="27" t="str"/>
    </x:row>
    <x:row r="46">
      <x:c r="A46" s="18" t="str">
        <x:v>2025 Fall</x:v>
      </x:c>
      <x:c r="B46" s="20" t="n">
        <x:v>37</x:v>
      </x:c>
      <x:c r="C46" s="18" t="str">
        <x:v>N.Altalhi</x:v>
      </x:c>
      <x:c r="D46" s="18" t="str">
        <x:v>WH Test Station</x:v>
      </x:c>
      <x:c r="E46" s="18" t="str">
        <x:v>8612023 PF</x:v>
      </x:c>
      <x:c r="F46" s="27" t="str">
        <x:v>Drywall Repair Kit, 13 Piece Aluminum Wall Repair Patch Kit, 2/4/6/8 inch Aluminum Drywall Patch, Quick Fix Plaster</x:v>
      </x:c>
      <x:c r="G46" s="18" t="str">
        <x:v>Amazon</x:v>
      </x:c>
      <x:c r="H46" s="18" t="str">
        <x:v>B0C3BHPDDH</x:v>
      </x:c>
      <x:c r="I46" s="26" t="n">
        <x:v>1</x:v>
      </x:c>
      <x:c r="J46" s="21" t="n">
        <x:v>15.85</x:v>
      </x:c>
      <x:c r="K46" s="21" t="n">
        <x:v>15.85</x:v>
      </x:c>
      <x:c r="L46" s="18" t="str">
        <x:v>yes</x:v>
      </x:c>
      <x:c r="M46" s="23" t="n">
        <x:v>45980</x:v>
      </x:c>
      <x:c r="N46" s="23" t="n">
        <x:v>45985</x:v>
      </x:c>
      <x:c r="O46" s="27" t="str"/>
    </x:row>
    <x:row r="47">
      <x:c r="A47" s="18" t="str">
        <x:v>2026 Spring</x:v>
      </x:c>
      <x:c r="B47" s="20" t="n">
        <x:v>7</x:v>
      </x:c>
      <x:c r="C47" s="18" t="str">
        <x:v>N.Altalhi</x:v>
      </x:c>
      <x:c r="D47" s="18" t="str">
        <x:v>WH Test Station</x:v>
      </x:c>
      <x:c r="E47" s="18" t="str">
        <x:v>PINBBB</x:v>
      </x:c>
      <x:c r="F47" s="27" t="str">
        <x:v>ABS Electrical Junction Box, Ventilated Design, Cable Grommets, IP65 Waterproof Enclosure, Indoor/Outdoor Use with Mounting Panel. (Clear Cover, 11"x7.4"x5.5")</x:v>
      </x:c>
      <x:c r="G47" s="18" t="str">
        <x:v>Amazon</x:v>
      </x:c>
      <x:c r="H47" s="18" t="str">
        <x:v>B0D25HV4X7</x:v>
      </x:c>
      <x:c r="I47" s="26" t="n">
        <x:v>3</x:v>
      </x:c>
      <x:c r="J47" s="21" t="n">
        <x:v>39.99</x:v>
      </x:c>
      <x:c r="K47" s="21" t="n">
        <x:v>119.97</x:v>
      </x:c>
      <x:c r="L47" s="18" t="str">
        <x:v>yes</x:v>
      </x:c>
      <x:c r="M47" s="23" t="n">
        <x:v>46115</x:v>
      </x:c>
      <x:c r="N47" s="23" t="n">
        <x:v>46121</x:v>
      </x:c>
      <x:c r="O47" s="27" t="str"/>
    </x:row>
    <x:row r="48">
      <x:c r="A48" s="18" t="str">
        <x:v>2026 Spring</x:v>
      </x:c>
      <x:c r="B48" s="20" t="n">
        <x:v>8</x:v>
      </x:c>
      <x:c r="C48" s="18" t="str">
        <x:v>N.Altalhi</x:v>
      </x:c>
      <x:c r="D48" s="18" t="str">
        <x:v>WH Test Station</x:v>
      </x:c>
      <x:c r="E48" s="18" t="str">
        <x:v>PINBBB</x:v>
      </x:c>
      <x:c r="F48" s="27" t="str">
        <x:v>Power Adapter</x:v>
      </x:c>
      <x:c r="G48" s="18" t="str">
        <x:v>Amazon</x:v>
      </x:c>
      <x:c r="H48" s="18" t="str">
        <x:v>B0DF7GKK44</x:v>
      </x:c>
      <x:c r="I48" s="26" t="n">
        <x:v>4</x:v>
      </x:c>
      <x:c r="J48" s="21" t="n">
        <x:v>15.03</x:v>
      </x:c>
      <x:c r="K48" s="21" t="n">
        <x:v>60.12</x:v>
      </x:c>
      <x:c r="L48" s="18" t="str">
        <x:v>yes</x:v>
      </x:c>
      <x:c r="M48" s="23" t="n">
        <x:v>46115</x:v>
      </x:c>
      <x:c r="N48" s="23" t="n">
        <x:v>46119</x:v>
      </x:c>
      <x:c r="O48" s="27" t="str"/>
    </x:row>
    <x:row r="49">
      <x:c r="A49" s="18" t="str">
        <x:v>2026 Spring</x:v>
      </x:c>
      <x:c r="B49" s="20" t="n">
        <x:v>9</x:v>
      </x:c>
      <x:c r="C49" s="18" t="str">
        <x:v>N.Altalhi</x:v>
      </x:c>
      <x:c r="D49" s="18" t="str">
        <x:v>WH Test Station</x:v>
      </x:c>
      <x:c r="E49" s="18" t="str">
        <x:v>PINBBB</x:v>
      </x:c>
      <x:c r="F49" s="27" t="str">
        <x:v>Sensor Terminal Block</x:v>
      </x:c>
      <x:c r="G49" s="18" t="str">
        <x:v>Amazon</x:v>
      </x:c>
      <x:c r="H49" s="18" t="str">
        <x:v>B07RJQDT2X</x:v>
      </x:c>
      <x:c r="I49" s="26" t="n">
        <x:v>1</x:v>
      </x:c>
      <x:c r="J49" s="21" t="n">
        <x:v>8.27</x:v>
      </x:c>
      <x:c r="K49" s="21" t="n">
        <x:v>8.27</x:v>
      </x:c>
      <x:c r="L49" s="18" t="str">
        <x:v>yes</x:v>
      </x:c>
      <x:c r="M49" s="23" t="n">
        <x:v>46115</x:v>
      </x:c>
      <x:c r="N49" s="23" t="n">
        <x:v>46121</x:v>
      </x:c>
      <x:c r="O49" s="27" t="str"/>
    </x:row>
    <x:row r="50">
      <x:c r="A50" s="18" t="str">
        <x:v>2026 Spring</x:v>
      </x:c>
      <x:c r="B50" s="20" t="n">
        <x:v>10</x:v>
      </x:c>
      <x:c r="C50" s="18" t="str">
        <x:v>N.Altalhi</x:v>
      </x:c>
      <x:c r="D50" s="18" t="str">
        <x:v>WH Test Station</x:v>
      </x:c>
      <x:c r="E50" s="18" t="str">
        <x:v>PINBBB</x:v>
      </x:c>
      <x:c r="F50" s="27" t="str">
        <x:v>RES 240 OHM 1% 1/4W 1206</x:v>
      </x:c>
      <x:c r="G50" s="18" t="str">
        <x:v>DigiKey</x:v>
      </x:c>
      <x:c r="H50" s="18" t="str">
        <x:v>311-240FRCT-ND</x:v>
      </x:c>
      <x:c r="I50" s="26" t="n">
        <x:v>100</x:v>
      </x:c>
      <x:c r="J50" s="21" t="n">
        <x:v>0.01</x:v>
      </x:c>
      <x:c r="K50" s="21" t="n">
        <x:v>1.26</x:v>
      </x:c>
      <x:c r="L50" s="18" t="str">
        <x:v>yes</x:v>
      </x:c>
      <x:c r="M50" s="23" t="n">
        <x:v>46115</x:v>
      </x:c>
      <x:c r="N50" s="23" t="n">
        <x:v>46127</x:v>
      </x:c>
      <x:c r="O50" s="27" t="str"/>
    </x:row>
    <x:row r="51">
      <x:c r="A51" s="18" t="str">
        <x:v>2026 Spring</x:v>
      </x:c>
      <x:c r="B51" s="20" t="n">
        <x:v>11</x:v>
      </x:c>
      <x:c r="C51" s="18" t="str">
        <x:v>N.Altalhi</x:v>
      </x:c>
      <x:c r="D51" s="18" t="str">
        <x:v>WH Test Station</x:v>
      </x:c>
      <x:c r="E51" s="18" t="str">
        <x:v>PINBBB</x:v>
      </x:c>
      <x:c r="F51" s="27" t="str">
        <x:v>CAP CER 0.1UF 50V X7R 1206</x:v>
      </x:c>
      <x:c r="G51" s="18" t="str">
        <x:v>DigiKey</x:v>
      </x:c>
      <x:c r="H51" s="18" t="str">
        <x:v>399-C1206C104K5RACTUCT-ND</x:v>
      </x:c>
      <x:c r="I51" s="26" t="n">
        <x:v>100</x:v>
      </x:c>
      <x:c r="J51" s="21" t="n">
        <x:v>0.01</x:v>
      </x:c>
      <x:c r="K51" s="21" t="n">
        <x:v>1.2</x:v>
      </x:c>
      <x:c r="L51" s="18" t="str">
        <x:v>yes</x:v>
      </x:c>
      <x:c r="M51" s="23" t="n">
        <x:v>46115</x:v>
      </x:c>
      <x:c r="N51" s="23" t="n">
        <x:v>46127</x:v>
      </x:c>
      <x:c r="O51" s="27" t="str"/>
    </x:row>
    <x:row r="52">
      <x:c r="A52" s="18" t="str">
        <x:v>2026 Spring</x:v>
      </x:c>
      <x:c r="B52" s="20" t="n">
        <x:v>12</x:v>
      </x:c>
      <x:c r="C52" s="18" t="str">
        <x:v>N.Altalhi</x:v>
      </x:c>
      <x:c r="D52" s="18" t="str">
        <x:v>WH Test Station</x:v>
      </x:c>
      <x:c r="E52" s="18" t="str">
        <x:v>PINBBB</x:v>
      </x:c>
      <x:c r="F52" s="27" t="str">
        <x:v>DC POWER JACK, BKZ LOCKING SERIE</x:v>
      </x:c>
      <x:c r="G52" s="18" t="str">
        <x:v>DigiKey</x:v>
      </x:c>
      <x:c r="H52" s="18" t="str">
        <x:v>SC3832-ND</x:v>
      </x:c>
      <x:c r="I52" s="26" t="n">
        <x:v>4</x:v>
      </x:c>
      <x:c r="J52" s="21" t="n">
        <x:v>3.09</x:v>
      </x:c>
      <x:c r="K52" s="21" t="n">
        <x:v>12.36</x:v>
      </x:c>
      <x:c r="L52" s="18" t="str">
        <x:v>yes</x:v>
      </x:c>
      <x:c r="M52" s="23" t="n">
        <x:v>46115</x:v>
      </x:c>
      <x:c r="N52" s="23" t="n">
        <x:v>46127</x:v>
      </x:c>
      <x:c r="O52" s="27" t="str"/>
    </x:row>
    <x:row r="53">
      <x:c r="A53" s="18" t="str">
        <x:v>2026 Spring</x:v>
      </x:c>
      <x:c r="B53" s="20" t="n">
        <x:v>13</x:v>
      </x:c>
      <x:c r="C53" s="18" t="str">
        <x:v>N.Altalhi</x:v>
      </x:c>
      <x:c r="D53" s="18" t="str">
        <x:v>WH Test Station</x:v>
      </x:c>
      <x:c r="E53" s="18" t="str">
        <x:v>PINBBB</x:v>
      </x:c>
      <x:c r="F53" s="27" t="str">
        <x:v>RELAY GEN PURPOSE SPST 10A 24V</x:v>
      </x:c>
      <x:c r="G53" s="18" t="str">
        <x:v>DigiKey</x:v>
      </x:c>
      <x:c r="H53" s="18" t="str">
        <x:v>Z2254-ND</x:v>
      </x:c>
      <x:c r="I53" s="26" t="n">
        <x:v>4</x:v>
      </x:c>
      <x:c r="J53" s="21" t="n">
        <x:v>1.67</x:v>
      </x:c>
      <x:c r="K53" s="21" t="n">
        <x:v>6.68</x:v>
      </x:c>
      <x:c r="L53" s="18" t="str">
        <x:v>yes</x:v>
      </x:c>
      <x:c r="M53" s="23" t="n">
        <x:v>46115</x:v>
      </x:c>
      <x:c r="N53" s="23" t="n">
        <x:v>46127</x:v>
      </x:c>
      <x:c r="O53" s="27" t="str"/>
    </x:row>
    <x:row r="54">
      <x:c r="A54" s="18" t="str">
        <x:v>2026 Spring</x:v>
      </x:c>
      <x:c r="B54" s="20" t="n">
        <x:v>14</x:v>
      </x:c>
      <x:c r="C54" s="18" t="str">
        <x:v>N.Altalhi</x:v>
      </x:c>
      <x:c r="D54" s="18" t="str">
        <x:v>WH Test Station</x:v>
      </x:c>
      <x:c r="E54" s="18" t="str">
        <x:v>PINBBB</x:v>
      </x:c>
      <x:c r="F54" s="27" t="str">
        <x:v>CAP ALUM 100UF 20% 50V SMD</x:v>
      </x:c>
      <x:c r="G54" s="18" t="str">
        <x:v>DigiKey</x:v>
      </x:c>
      <x:c r="H54" s="18" t="str">
        <x:v>PCE5024CT-ND</x:v>
      </x:c>
      <x:c r="I54" s="26" t="n">
        <x:v>3</x:v>
      </x:c>
      <x:c r="J54" s="21" t="n">
        <x:v>0.93</x:v>
      </x:c>
      <x:c r="K54" s="21" t="n">
        <x:v>2.79</x:v>
      </x:c>
      <x:c r="L54" s="18" t="str">
        <x:v>yes</x:v>
      </x:c>
      <x:c r="M54" s="23" t="n">
        <x:v>46115</x:v>
      </x:c>
      <x:c r="N54" s="23" t="n">
        <x:v>46127</x:v>
      </x:c>
      <x:c r="O54" s="27" t="str"/>
    </x:row>
    <x:row r="55">
      <x:c r="A55" s="18" t="str">
        <x:v>2026 Spring</x:v>
      </x:c>
      <x:c r="B55" s="20" t="n">
        <x:v>15</x:v>
      </x:c>
      <x:c r="C55" s="18" t="str">
        <x:v>N.Altalhi</x:v>
      </x:c>
      <x:c r="D55" s="18" t="str">
        <x:v>WH Test Station</x:v>
      </x:c>
      <x:c r="E55" s="18" t="str">
        <x:v>PINBBB</x:v>
      </x:c>
      <x:c r="F55" s="27" t="str">
        <x:v>TERM BLK 2P SIDE ENT 12.7MM PCB</x:v>
      </x:c>
      <x:c r="G55" s="18" t="str">
        <x:v>DigiKey</x:v>
      </x:c>
      <x:c r="H55" s="18" t="str">
        <x:v>277-9071-ND</x:v>
      </x:c>
      <x:c r="I55" s="26" t="n">
        <x:v>4</x:v>
      </x:c>
      <x:c r="J55" s="21" t="n">
        <x:v>13.76</x:v>
      </x:c>
      <x:c r="K55" s="21" t="n">
        <x:v>55.04</x:v>
      </x:c>
      <x:c r="L55" s="18" t="str">
        <x:v>yes</x:v>
      </x:c>
      <x:c r="M55" s="23" t="n">
        <x:v>46115</x:v>
      </x:c>
      <x:c r="N55" s="23" t="n">
        <x:v>46127</x:v>
      </x:c>
      <x:c r="O55" s="27" t="str"/>
    </x:row>
    <x:row r="56">
      <x:c r="A56" s="18" t="str">
        <x:v>2026 Spring</x:v>
      </x:c>
      <x:c r="B56" s="20" t="n">
        <x:v>16</x:v>
      </x:c>
      <x:c r="C56" s="18" t="str">
        <x:v>N.Altalhi</x:v>
      </x:c>
      <x:c r="D56" s="18" t="str">
        <x:v>WH Test Station</x:v>
      </x:c>
      <x:c r="E56" s="18" t="str">
        <x:v>PINBBB</x:v>
      </x:c>
      <x:c r="F56" s="27" t="str">
        <x:v>SCREW TYPE, TERMINAL BLOCK, RIGH</x:v>
      </x:c>
      <x:c r="G56" s="18" t="str">
        <x:v>DigiKey</x:v>
      </x:c>
      <x:c r="H56" s="18" t="str">
        <x:v>1849-1340-ND</x:v>
      </x:c>
      <x:c r="I56" s="26" t="n">
        <x:v>8</x:v>
      </x:c>
      <x:c r="J56" s="21" t="n">
        <x:v>1.64</x:v>
      </x:c>
      <x:c r="K56" s="21" t="n">
        <x:v>13.12</x:v>
      </x:c>
      <x:c r="L56" s="18" t="str">
        <x:v>yes</x:v>
      </x:c>
      <x:c r="M56" s="23" t="n">
        <x:v>46115</x:v>
      </x:c>
      <x:c r="N56" s="23" t="n">
        <x:v>46127</x:v>
      </x:c>
      <x:c r="O56" s="27" t="str"/>
    </x:row>
    <x:row r="57">
      <x:c r="A57" s="18" t="str">
        <x:v>2026 Spring</x:v>
      </x:c>
      <x:c r="B57" s="20" t="n">
        <x:v>17</x:v>
      </x:c>
      <x:c r="C57" s="18" t="str">
        <x:v>N.Altalhi</x:v>
      </x:c>
      <x:c r="D57" s="18" t="str">
        <x:v>WH Test Station</x:v>
      </x:c>
      <x:c r="E57" s="18" t="str">
        <x:v>PINBBB</x:v>
      </x:c>
      <x:c r="F57" s="27" t="str">
        <x:v>CONN HEADER VERT 40POS 2.54MM</x:v>
      </x:c>
      <x:c r="G57" s="18" t="str">
        <x:v>DigiKey</x:v>
      </x:c>
      <x:c r="H57" s="18" t="str">
        <x:v>S9175-ND</x:v>
      </x:c>
      <x:c r="I57" s="26" t="n">
        <x:v>4</x:v>
      </x:c>
      <x:c r="J57" s="21" t="n">
        <x:v>0.58</x:v>
      </x:c>
      <x:c r="K57" s="21" t="n">
        <x:v>2.32</x:v>
      </x:c>
      <x:c r="L57" s="18" t="str">
        <x:v>yes</x:v>
      </x:c>
      <x:c r="M57" s="23" t="n">
        <x:v>46115</x:v>
      </x:c>
      <x:c r="N57" s="23" t="n">
        <x:v>46127</x:v>
      </x:c>
      <x:c r="O57" s="27" t="str"/>
    </x:row>
    <x:row r="58">
      <x:c r="A58" s="18" t="str">
        <x:v>2026 Spring</x:v>
      </x:c>
      <x:c r="B58" s="20" t="n">
        <x:v>18</x:v>
      </x:c>
      <x:c r="C58" s="18" t="str">
        <x:v>N.Altalhi</x:v>
      </x:c>
      <x:c r="D58" s="18" t="str">
        <x:v>WH Test Station</x:v>
      </x:c>
      <x:c r="E58" s="18" t="str">
        <x:v>PINBBB</x:v>
      </x:c>
      <x:c r="F58" s="27" t="str">
        <x:v>230V INPUT 1.5VA PWR XFMR</x:v>
      </x:c>
      <x:c r="G58" s="18" t="str">
        <x:v>DigiKey</x:v>
      </x:c>
      <x:c r="H58" s="18" t="str">
        <x:v>3388-BV302S12015-ND</x:v>
      </x:c>
      <x:c r="I58" s="26" t="n">
        <x:v>1</x:v>
      </x:c>
      <x:c r="J58" s="21" t="n">
        <x:v>3.23</x:v>
      </x:c>
      <x:c r="K58" s="21" t="n">
        <x:v>3.23</x:v>
      </x:c>
      <x:c r="L58" s="18" t="str">
        <x:v>yes</x:v>
      </x:c>
      <x:c r="M58" s="23" t="n">
        <x:v>46115</x:v>
      </x:c>
      <x:c r="N58" s="23" t="n">
        <x:v>46127</x:v>
      </x:c>
      <x:c r="O58" s="27" t="str"/>
    </x:row>
    <x:row r="59">
      <x:c r="A59" s="18" t="str">
        <x:v>2026 Spring</x:v>
      </x:c>
      <x:c r="B59" s="20" t="n">
        <x:v>19</x:v>
      </x:c>
      <x:c r="C59" s="18" t="str">
        <x:v>N.Altalhi</x:v>
      </x:c>
      <x:c r="D59" s="18" t="str">
        <x:v>WH Test Station</x:v>
      </x:c>
      <x:c r="E59" s="18" t="str">
        <x:v>PINBBB</x:v>
      </x:c>
      <x:c r="F59" s="27" t="str">
        <x:v>VARISTOR 430V 6KA DISC 15.5MM</x:v>
      </x:c>
      <x:c r="G59" s="18" t="str">
        <x:v>DigiKey</x:v>
      </x:c>
      <x:c r="H59" s="18" t="str">
        <x:v>P7267-ND</x:v>
      </x:c>
      <x:c r="I59" s="26" t="n">
        <x:v>5</x:v>
      </x:c>
      <x:c r="J59" s="21" t="n">
        <x:v>0.51</x:v>
      </x:c>
      <x:c r="K59" s="21" t="n">
        <x:v>2.55</x:v>
      </x:c>
      <x:c r="L59" s="18" t="str">
        <x:v>yes</x:v>
      </x:c>
      <x:c r="M59" s="23" t="n">
        <x:v>46115</x:v>
      </x:c>
      <x:c r="N59" s="23" t="n">
        <x:v>46127</x:v>
      </x:c>
      <x:c r="O59" s="27" t="str"/>
    </x:row>
    <x:row r="60">
      <x:c r="A60" s="18" t="str">
        <x:v>2026 Spring</x:v>
      </x:c>
      <x:c r="B60" s="20" t="n">
        <x:v>20</x:v>
      </x:c>
      <x:c r="C60" s="18" t="str">
        <x:v>N.Altalhi</x:v>
      </x:c>
      <x:c r="D60" s="18" t="str">
        <x:v>WH Test Station</x:v>
      </x:c>
      <x:c r="E60" s="18" t="str">
        <x:v>PINBBB</x:v>
      </x:c>
      <x:c r="F60" s="27" t="str">
        <x:v>Rhino 4200 5000 5200 6000 3000 Label Tape Replacement for Dymo 18444 1805435 Permanent Vinyl Rhino Work with Industrial Label Maker Tape S0718600 Rhinopro Refills, 1/2"X18', 12mm x 5.5m, 4 Cartridges</x:v>
      </x:c>
      <x:c r="G60" s="18" t="str">
        <x:v>Amazon</x:v>
      </x:c>
      <x:c r="H60" s="18" t="str">
        <x:v>B0BHXWMBYX</x:v>
      </x:c>
      <x:c r="I60" s="26" t="n">
        <x:v>1</x:v>
      </x:c>
      <x:c r="J60" s="21" t="n">
        <x:v>19.99</x:v>
      </x:c>
      <x:c r="K60" s="21" t="n">
        <x:v>19.99</x:v>
      </x:c>
      <x:c r="L60" s="18" t="str">
        <x:v>yes</x:v>
      </x:c>
      <x:c r="M60" s="23" t="n">
        <x:v>46118</x:v>
      </x:c>
      <x:c r="N60" s="23" t="n">
        <x:v>46121</x:v>
      </x:c>
      <x:c r="O60" s="27" t="str"/>
    </x:row>
    <x:row r="61">
      <x:c r="A61" s="18" t="str">
        <x:v>2026 Spring</x:v>
      </x:c>
      <x:c r="B61" s="20" t="n">
        <x:v>21</x:v>
      </x:c>
      <x:c r="C61" s="18" t="str">
        <x:v>N.Altalhi</x:v>
      </x:c>
      <x:c r="D61" s="18" t="str">
        <x:v>WH Test Station</x:v>
      </x:c>
      <x:c r="E61" s="18" t="str">
        <x:v>PINBBB</x:v>
      </x:c>
      <x:c r="F61" s="27" t="str">
        <x:v>Eaton miniature circuit breaker, current-limiting, 25A, 240 VAC/96 VDC, 2-pole, B curve, thermal magnetic, 14kA @ 240 VAC interrupting rating, 35mm DIN rail mount.</x:v>
      </x:c>
      <x:c r="G61" s="18" t="str">
        <x:v>AutomationDirect</x:v>
      </x:c>
      <x:c r="H61" s="18" t="str">
        <x:v>FAZ-B25-2-NA-L</x:v>
      </x:c>
      <x:c r="I61" s="26" t="n">
        <x:v>4</x:v>
      </x:c>
      <x:c r="J61" s="21" t="n">
        <x:v>53</x:v>
      </x:c>
      <x:c r="K61" s="21" t="n">
        <x:v>212</x:v>
      </x:c>
      <x:c r="L61" s="18" t="str">
        <x:v>yes</x:v>
      </x:c>
      <x:c r="M61" s="23" t="n">
        <x:v>46118</x:v>
      </x:c>
      <x:c r="N61" s="23" t="n">
        <x:v>46121</x:v>
      </x:c>
      <x:c r="O61" s="27" t="str"/>
    </x:row>
    <x:row r="62">
      <x:c r="A62" s="18" t="str">
        <x:v>2026 Spring</x:v>
      </x:c>
      <x:c r="B62" s="20" t="n">
        <x:v>22</x:v>
      </x:c>
      <x:c r="C62" s="18" t="str">
        <x:v>N.Altalhi</x:v>
      </x:c>
      <x:c r="D62" s="18" t="str">
        <x:v>WH Test Station</x:v>
      </x:c>
      <x:c r="E62" s="18" t="str">
        <x:v>PINBBB</x:v>
      </x:c>
      <x:c r="F62" s="27" t="str">
        <x:v>Hammond enclosure, NEMA 1, 8 x 8 x 4in (HxWxD), wall mount, carbon steel, ANSI 61 gray, powder coat finish, single-door, 1/4-turn flush-mounted latch.</x:v>
      </x:c>
      <x:c r="G62" s="18" t="str">
        <x:v>AutomationDirect</x:v>
      </x:c>
      <x:c r="H62" s="18" t="str">
        <x:v>N1J884</x:v>
      </x:c>
      <x:c r="I62" s="26" t="n">
        <x:v>2</x:v>
      </x:c>
      <x:c r="J62" s="21" t="n">
        <x:v>509.15</x:v>
      </x:c>
      <x:c r="K62" s="21" t="n">
        <x:v>1018.3</x:v>
      </x:c>
      <x:c r="L62" s="18" t="str">
        <x:v>yes</x:v>
      </x:c>
      <x:c r="M62" s="23" t="n">
        <x:v>46118</x:v>
      </x:c>
      <x:c r="N62" s="23" t="n">
        <x:v>46121</x:v>
      </x:c>
      <x:c r="O62" s="27" t="str"/>
    </x:row>
    <x:row r="63">
      <x:c r="A63" s="18" t="str">
        <x:v>2026 Spring</x:v>
      </x:c>
      <x:c r="B63" s="20" t="n">
        <x:v>23</x:v>
      </x:c>
      <x:c r="C63" s="18" t="str">
        <x:v>N.Altalhi</x:v>
      </x:c>
      <x:c r="D63" s="18" t="str">
        <x:v>WH Test Station</x:v>
      </x:c>
      <x:c r="E63" s="18" t="str">
        <x:v>PINBBB</x:v>
      </x:c>
      <x:c r="F63" s="27" t="str">
        <x:v>4PACK DC 60mm USB Fan 5V 6015 Brushless Cooling Fan 60mmx15mm 5V USB for PC Computer Case Cooler Raspberry Pi Radiator Ventilation</x:v>
      </x:c>
      <x:c r="G63" s="18" t="str">
        <x:v>Amazon</x:v>
      </x:c>
      <x:c r="H63" s="18" t="str">
        <x:v>B0CKDG6S5W</x:v>
      </x:c>
      <x:c r="I63" s="26" t="n">
        <x:v>1</x:v>
      </x:c>
      <x:c r="J63" s="21" t="n">
        <x:v>8.29</x:v>
      </x:c>
      <x:c r="K63" s="21" t="n">
        <x:v>8.29</x:v>
      </x:c>
      <x:c r="L63" s="18" t="str">
        <x:v>yes</x:v>
      </x:c>
      <x:c r="M63" s="23" t="n">
        <x:v>46120</x:v>
      </x:c>
      <x:c r="N63" s="23" t="n">
        <x:v>46121</x:v>
      </x:c>
      <x:c r="O63" s="27" t="str"/>
    </x:row>
    <x:row r="64">
      <x:c r="A64" s="18" t="str">
        <x:v>2026 Spring</x:v>
      </x:c>
      <x:c r="B64" s="20" t="n">
        <x:v>26</x:v>
      </x:c>
      <x:c r="C64" s="18" t="str">
        <x:v>N.Altalhi</x:v>
      </x:c>
      <x:c r="D64" s="18" t="str">
        <x:v>WH Test Station</x:v>
      </x:c>
      <x:c r="E64" s="18" t="str">
        <x:v>PINBBB</x:v>
      </x:c>
      <x:c r="F64" s="27" t="str">
        <x:v>TOGGLER SNAPTOGGLE Drywall Anchor with Included Bolts for 1/4-20 Fastener Size; Holds up to 265 pounds Each in 1/2-in Drywall by TOGGLER (20 Pack)</x:v>
      </x:c>
      <x:c r="G64" s="18" t="str">
        <x:v>Amazon</x:v>
      </x:c>
      <x:c r="H64" s="18" t="str">
        <x:v>B07FMCHQ8W</x:v>
      </x:c>
      <x:c r="I64" s="26" t="n">
        <x:v>1</x:v>
      </x:c>
      <x:c r="J64" s="21" t="n">
        <x:v>19.99</x:v>
      </x:c>
      <x:c r="K64" s="21" t="n">
        <x:v>19.99</x:v>
      </x:c>
      <x:c r="L64" s="18" t="str">
        <x:v>yes</x:v>
      </x:c>
      <x:c r="M64" s="23" t="n">
        <x:v>46126</x:v>
      </x:c>
      <x:c r="N64" s="23" t="n">
        <x:v>46128</x:v>
      </x:c>
      <x:c r="O64" s="27" t="str"/>
    </x:row>
  </x:sheetData>
  <x:pageMargins left="0.7" right="0.7" top="0.75" bottom="0.75" header="0.3" footer="0.3"/>
  <x:tableParts count="1">
    <x:tablePart xmlns:r="http://schemas.openxmlformats.org/officeDocument/2006/relationships" r:id="Rf30d544ab7bc4889"/>
  </x:tableParts>
</x:worksheet>
</file>